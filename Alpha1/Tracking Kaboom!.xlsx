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d.docs.live.net/d684bf275ce85c00/Research ^0 Investments/"/>
    </mc:Choice>
  </mc:AlternateContent>
  <xr:revisionPtr revIDLastSave="7410" documentId="13_ncr:1_{9F1CF87F-0228-4B11-B8E5-ED81FED6C087}" xr6:coauthVersionLast="47" xr6:coauthVersionMax="47" xr10:uidLastSave="{F33FF23D-DCA4-4902-85C6-E8E4AF7DB618}"/>
  <bookViews>
    <workbookView xWindow="-108" yWindow="-108" windowWidth="23256" windowHeight="12456" tabRatio="741" activeTab="5" xr2:uid="{00000000-000D-0000-FFFF-FFFF00000000}"/>
  </bookViews>
  <sheets>
    <sheet name="Order flow" sheetId="16" r:id="rId1"/>
    <sheet name="Trade" sheetId="17" r:id="rId2"/>
    <sheet name="Query" sheetId="18" r:id="rId3"/>
    <sheet name="Swing Trade" sheetId="15" r:id="rId4"/>
    <sheet name="Portfolio" sheetId="7" r:id="rId5"/>
    <sheet name="Stocks Review" sheetId="5" r:id="rId6"/>
    <sheet name="Filters &amp; Indicators" sheetId="9" r:id="rId7"/>
    <sheet name="Valuation" sheetId="14" r:id="rId8"/>
    <sheet name="Industry Factors" sheetId="13" r:id="rId9"/>
    <sheet name="Links" sheetId="12" r:id="rId10"/>
    <sheet name="Penny for Research" sheetId="11" r:id="rId11"/>
    <sheet name="Terminology" sheetId="4" r:id="rId12"/>
    <sheet name="Definition" sheetId="2" r:id="rId13"/>
  </sheets>
  <definedNames>
    <definedName name="_xlnm._FilterDatabase" localSheetId="6" hidden="1">'Filters &amp; Indicators'!$A$24:$G$64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17" l="1"/>
  <c r="J28" i="17"/>
  <c r="K28" i="17" s="1"/>
  <c r="L28" i="17" s="1"/>
  <c r="I28" i="17"/>
  <c r="J26" i="17"/>
  <c r="I26" i="17"/>
  <c r="J25" i="17"/>
  <c r="I25" i="17"/>
  <c r="J24" i="17"/>
  <c r="I24" i="17"/>
  <c r="J23" i="17"/>
  <c r="I23" i="17"/>
  <c r="J22" i="17"/>
  <c r="I22" i="17"/>
  <c r="J16" i="17"/>
  <c r="I16" i="17"/>
  <c r="J15" i="17"/>
  <c r="I15" i="17"/>
  <c r="J13" i="17"/>
  <c r="I13" i="17"/>
  <c r="J12" i="17"/>
  <c r="I12" i="17"/>
  <c r="J11" i="17"/>
  <c r="I11" i="17"/>
  <c r="J9" i="17"/>
  <c r="I9" i="17"/>
  <c r="J6" i="17"/>
  <c r="I6" i="17"/>
  <c r="J4" i="17"/>
  <c r="I4" i="17"/>
  <c r="J3" i="17"/>
  <c r="J2" i="17"/>
  <c r="I3" i="17"/>
  <c r="I2" i="17"/>
  <c r="J36" i="17"/>
  <c r="J19" i="17"/>
  <c r="J35" i="17"/>
  <c r="J20" i="17"/>
  <c r="J21" i="17"/>
  <c r="J34" i="17"/>
  <c r="J32" i="17"/>
  <c r="J10" i="17"/>
  <c r="J31" i="17"/>
  <c r="J30" i="17"/>
  <c r="J29" i="17"/>
  <c r="J27" i="17"/>
  <c r="J17" i="17"/>
  <c r="J18" i="17"/>
  <c r="J5" i="17"/>
  <c r="J14" i="17"/>
  <c r="J8" i="17"/>
  <c r="I32" i="17"/>
  <c r="I34" i="17"/>
  <c r="I21" i="17"/>
  <c r="I20" i="17"/>
  <c r="I35" i="17"/>
  <c r="I19" i="17"/>
  <c r="I36" i="17"/>
  <c r="I10" i="17"/>
  <c r="I31" i="17"/>
  <c r="I30" i="17"/>
  <c r="I29" i="17"/>
  <c r="I27" i="17"/>
  <c r="I17" i="17"/>
  <c r="I18" i="17"/>
  <c r="I5" i="17"/>
  <c r="I14" i="17"/>
  <c r="I8" i="17"/>
  <c r="J7" i="17"/>
  <c r="I7" i="17"/>
  <c r="G23" i="16"/>
  <c r="G76" i="7"/>
  <c r="G73" i="7"/>
  <c r="G72" i="7"/>
  <c r="G82" i="7"/>
  <c r="I491" i="7"/>
  <c r="I424" i="7"/>
  <c r="I187" i="7"/>
  <c r="G185" i="7"/>
  <c r="G184" i="7"/>
  <c r="G186" i="7"/>
  <c r="G160" i="7"/>
  <c r="G159" i="7"/>
  <c r="I163" i="7"/>
  <c r="G167" i="7"/>
  <c r="G166" i="7"/>
  <c r="I153" i="7"/>
  <c r="G152" i="7"/>
  <c r="I148" i="7"/>
  <c r="G111" i="7"/>
  <c r="G367" i="7"/>
  <c r="G378" i="7"/>
  <c r="G377" i="7"/>
  <c r="G376" i="7"/>
  <c r="G363" i="7"/>
  <c r="G364" i="7"/>
  <c r="G362" i="7"/>
  <c r="G361" i="7"/>
  <c r="G343" i="7"/>
  <c r="I349" i="7"/>
  <c r="I106" i="7"/>
  <c r="G458" i="7"/>
  <c r="G453" i="7"/>
  <c r="I464" i="7"/>
  <c r="G452" i="7"/>
  <c r="I463" i="7"/>
  <c r="I462" i="7"/>
  <c r="G459" i="7"/>
  <c r="G450" i="7"/>
  <c r="I461" i="7"/>
  <c r="I460" i="7"/>
  <c r="G445" i="7"/>
  <c r="I87" i="7"/>
  <c r="I86" i="7"/>
  <c r="I85" i="7"/>
  <c r="G84" i="7"/>
  <c r="G83" i="7"/>
  <c r="I41" i="7"/>
  <c r="I250" i="7"/>
  <c r="G249" i="7"/>
  <c r="G247" i="7"/>
  <c r="I239" i="7"/>
  <c r="G315" i="7"/>
  <c r="G313" i="7"/>
  <c r="G312" i="7"/>
  <c r="G93" i="7"/>
  <c r="G92" i="7"/>
  <c r="G625" i="7"/>
  <c r="I629" i="7"/>
  <c r="I628" i="7"/>
  <c r="G232" i="7"/>
  <c r="I382" i="7"/>
  <c r="G391" i="7"/>
  <c r="I389" i="7"/>
  <c r="I26" i="7"/>
  <c r="G23" i="7"/>
  <c r="G586" i="7"/>
  <c r="G578" i="7"/>
  <c r="I653" i="7"/>
  <c r="G652" i="7"/>
  <c r="I526" i="7"/>
  <c r="I563" i="7"/>
  <c r="G562" i="7"/>
  <c r="G561" i="7"/>
  <c r="I195" i="7"/>
  <c r="G226" i="7"/>
  <c r="G636" i="7"/>
  <c r="G228" i="7"/>
  <c r="G197" i="7"/>
  <c r="I481" i="7"/>
  <c r="G480" i="7"/>
  <c r="G617" i="7"/>
  <c r="I615" i="7"/>
  <c r="G206" i="7"/>
  <c r="G300" i="7"/>
  <c r="I299" i="7"/>
  <c r="I242" i="7"/>
  <c r="G614" i="7"/>
  <c r="G627" i="7"/>
  <c r="G194" i="7"/>
  <c r="G191" i="7"/>
  <c r="G613" i="7"/>
  <c r="G619" i="7"/>
  <c r="G298" i="7"/>
  <c r="I471" i="7"/>
  <c r="I101" i="7"/>
  <c r="G626" i="7"/>
  <c r="I559" i="7"/>
  <c r="I173" i="7"/>
  <c r="I497" i="7"/>
  <c r="G612" i="7"/>
  <c r="G97" i="7"/>
  <c r="G98" i="7"/>
  <c r="G624" i="7"/>
  <c r="G623" i="7"/>
  <c r="G585" i="7"/>
  <c r="G584" i="7"/>
  <c r="G611" i="7"/>
  <c r="G205" i="7"/>
  <c r="I478" i="7"/>
  <c r="I556" i="7"/>
  <c r="I439" i="7"/>
  <c r="G477" i="7"/>
  <c r="I569" i="7"/>
  <c r="G566" i="7"/>
  <c r="I296" i="7"/>
  <c r="G622" i="7"/>
  <c r="G583" i="7"/>
  <c r="G172" i="7"/>
  <c r="G241" i="7"/>
  <c r="G238" i="7"/>
  <c r="G621" i="7"/>
  <c r="G582" i="7"/>
  <c r="G171" i="7"/>
  <c r="G610" i="7"/>
  <c r="G555" i="7"/>
  <c r="G558" i="7"/>
  <c r="G100" i="7"/>
  <c r="G170" i="7"/>
  <c r="G470" i="7"/>
  <c r="G169" i="7"/>
  <c r="G189" i="7"/>
  <c r="I96" i="7"/>
  <c r="I390" i="7"/>
  <c r="I30" i="7"/>
  <c r="I388" i="7"/>
  <c r="I633" i="7"/>
  <c r="G387" i="7"/>
  <c r="G252" i="7"/>
  <c r="I255" i="7"/>
  <c r="G95" i="7"/>
  <c r="I29" i="7"/>
  <c r="G581" i="7"/>
  <c r="G568" i="7"/>
  <c r="G580" i="7"/>
  <c r="G295" i="7"/>
  <c r="G94" i="7"/>
  <c r="G554" i="7"/>
  <c r="I609" i="7"/>
  <c r="G254" i="7"/>
  <c r="G28" i="7"/>
  <c r="G632" i="7"/>
  <c r="G618" i="7"/>
  <c r="G567" i="7"/>
  <c r="G91" i="7"/>
  <c r="G579" i="7"/>
  <c r="I69" i="7"/>
  <c r="G68" i="7"/>
  <c r="G608" i="7"/>
  <c r="G253" i="7"/>
  <c r="G27" i="7"/>
  <c r="G438" i="7"/>
  <c r="G496" i="7"/>
  <c r="I90" i="7"/>
  <c r="G25" i="7"/>
  <c r="I157" i="7"/>
  <c r="I495" i="7"/>
  <c r="I57" i="7"/>
  <c r="I297" i="7"/>
  <c r="G525" i="7"/>
  <c r="G565" i="7"/>
  <c r="G24" i="7"/>
  <c r="G291" i="7"/>
  <c r="G156" i="7"/>
  <c r="G494" i="7"/>
  <c r="G290" i="7"/>
  <c r="G293" i="7"/>
  <c r="G292" i="7"/>
  <c r="I224" i="7"/>
  <c r="G396" i="7"/>
  <c r="G268" i="7"/>
  <c r="I269" i="7"/>
  <c r="I395" i="7"/>
  <c r="G162" i="7"/>
  <c r="G165" i="7"/>
  <c r="G490" i="7"/>
  <c r="G151" i="7"/>
  <c r="G147" i="7"/>
  <c r="G146" i="7"/>
  <c r="G599" i="7"/>
  <c r="G236" i="7"/>
  <c r="G81" i="7"/>
  <c r="G80" i="7"/>
  <c r="G79" i="7"/>
  <c r="I489" i="7"/>
  <c r="G78" i="7"/>
  <c r="G77" i="7"/>
  <c r="G75" i="7"/>
  <c r="G310" i="7"/>
  <c r="G307" i="7"/>
  <c r="G457" i="7"/>
  <c r="G456" i="7"/>
  <c r="I203" i="7"/>
  <c r="I183" i="7"/>
  <c r="I535" i="7"/>
  <c r="I501" i="7"/>
  <c r="I375" i="7"/>
  <c r="I475" i="7"/>
  <c r="G202" i="7"/>
  <c r="G201" i="7"/>
  <c r="G488" i="7"/>
  <c r="G487" i="7"/>
  <c r="G455" i="7"/>
  <c r="G74" i="7"/>
  <c r="G486" i="7"/>
  <c r="G182" i="7"/>
  <c r="G71" i="7"/>
  <c r="G485" i="7"/>
  <c r="I374" i="7"/>
  <c r="I373" i="7"/>
  <c r="I372" i="7"/>
  <c r="G306" i="7"/>
  <c r="G181" i="7"/>
  <c r="G484" i="7"/>
  <c r="G454" i="7"/>
  <c r="G500" i="7"/>
  <c r="G451" i="7"/>
  <c r="G449" i="7"/>
  <c r="I429" i="7"/>
  <c r="I506" i="7"/>
  <c r="G217" i="7"/>
  <c r="G216" i="7"/>
  <c r="I221" i="7"/>
  <c r="I552" i="7"/>
  <c r="I294" i="7"/>
  <c r="G474" i="7"/>
  <c r="G473" i="7"/>
  <c r="G551" i="7"/>
  <c r="G534" i="7"/>
  <c r="G550" i="7"/>
  <c r="G448" i="7"/>
  <c r="I36" i="7"/>
  <c r="I371" i="7"/>
  <c r="I305" i="7"/>
  <c r="I370" i="7"/>
  <c r="I369" i="7"/>
  <c r="G428" i="7"/>
  <c r="G549" i="7"/>
  <c r="I447" i="7"/>
  <c r="G35" i="7"/>
  <c r="G368" i="7"/>
  <c r="G548" i="7"/>
  <c r="G34" i="7"/>
  <c r="G366" i="7"/>
  <c r="G505" i="7"/>
  <c r="G446" i="7"/>
  <c r="G33" i="7"/>
  <c r="G304" i="7"/>
  <c r="G365" i="7"/>
  <c r="G504" i="7"/>
  <c r="G220" i="7"/>
  <c r="G547" i="7"/>
  <c r="G219" i="7"/>
  <c r="G218" i="7"/>
  <c r="G360" i="7"/>
  <c r="G499" i="7"/>
  <c r="G32" i="7"/>
  <c r="G248" i="7"/>
  <c r="G444" i="7"/>
  <c r="G246" i="7"/>
  <c r="G427" i="7"/>
  <c r="G245" i="7"/>
  <c r="G426" i="7"/>
  <c r="K24" i="17" l="1"/>
  <c r="L24" i="17" s="1"/>
  <c r="K25" i="17"/>
  <c r="L25" i="17" s="1"/>
  <c r="K26" i="17"/>
  <c r="L26" i="17" s="1"/>
  <c r="K23" i="17"/>
  <c r="L23" i="17" s="1"/>
  <c r="K22" i="17"/>
  <c r="L22" i="17" s="1"/>
  <c r="K16" i="17"/>
  <c r="L16" i="17" s="1"/>
  <c r="K15" i="17"/>
  <c r="L15" i="17" s="1"/>
  <c r="K13" i="17"/>
  <c r="L13" i="17" s="1"/>
  <c r="K12" i="17"/>
  <c r="L12" i="17" s="1"/>
  <c r="K11" i="17"/>
  <c r="L11" i="17" s="1"/>
  <c r="K6" i="17"/>
  <c r="L6" i="17" s="1"/>
  <c r="K9" i="17"/>
  <c r="L9" i="17" s="1"/>
  <c r="K2" i="17"/>
  <c r="L2" i="17" s="1"/>
  <c r="K4" i="17"/>
  <c r="L4" i="17" s="1"/>
  <c r="K3" i="17"/>
  <c r="L3" i="17" s="1"/>
  <c r="K7" i="17"/>
  <c r="L7" i="17" s="1"/>
  <c r="K31" i="17"/>
  <c r="L31" i="17" s="1"/>
  <c r="K19" i="17"/>
  <c r="L19" i="17" s="1"/>
  <c r="K36" i="17"/>
  <c r="L36" i="17" s="1"/>
  <c r="K27" i="17"/>
  <c r="L27" i="17" s="1"/>
  <c r="K29" i="17"/>
  <c r="L29" i="17" s="1"/>
  <c r="K30" i="17"/>
  <c r="L30" i="17" s="1"/>
  <c r="K10" i="17"/>
  <c r="L10" i="17" s="1"/>
  <c r="K35" i="17"/>
  <c r="L35" i="17" s="1"/>
  <c r="K21" i="17"/>
  <c r="L21" i="17" s="1"/>
  <c r="K32" i="17"/>
  <c r="L32" i="17" s="1"/>
  <c r="K34" i="17"/>
  <c r="L34" i="17" s="1"/>
  <c r="K20" i="17"/>
  <c r="L20" i="17" s="1"/>
  <c r="K5" i="17"/>
  <c r="L5" i="17" s="1"/>
  <c r="K18" i="17"/>
  <c r="L18" i="17" s="1"/>
  <c r="K17" i="17"/>
  <c r="L17" i="17" s="1"/>
  <c r="K14" i="17"/>
  <c r="L14" i="17" s="1"/>
  <c r="K8" i="17"/>
  <c r="L8" i="17" s="1"/>
  <c r="K96" i="7"/>
  <c r="K86" i="7"/>
  <c r="K87" i="7"/>
  <c r="K85" i="7"/>
  <c r="K535" i="7"/>
  <c r="K491" i="7"/>
  <c r="K489" i="7"/>
  <c r="K187" i="7"/>
  <c r="K183" i="7"/>
  <c r="K163" i="7"/>
  <c r="K148" i="7"/>
  <c r="K153" i="7"/>
  <c r="K26" i="7"/>
  <c r="M26" i="7" s="1"/>
  <c r="K460" i="7"/>
  <c r="K463" i="7"/>
  <c r="K461" i="7"/>
  <c r="K462" i="7"/>
  <c r="K464" i="7"/>
  <c r="K447" i="7"/>
  <c r="K250" i="7"/>
  <c r="K36" i="7"/>
  <c r="M36" i="7" s="1"/>
  <c r="K239" i="7"/>
  <c r="K552" i="7"/>
  <c r="K556" i="7"/>
  <c r="K559" i="7"/>
  <c r="K255" i="7"/>
  <c r="K628" i="7"/>
  <c r="K629" i="7"/>
  <c r="K242" i="7"/>
  <c r="K471" i="7"/>
  <c r="K429" i="7"/>
  <c r="K526" i="7"/>
  <c r="K563" i="7"/>
  <c r="K653" i="7"/>
  <c r="K439" i="7"/>
  <c r="K195" i="7"/>
  <c r="K101" i="7"/>
  <c r="K157" i="7"/>
  <c r="K173" i="7"/>
  <c r="K221" i="7"/>
  <c r="K475" i="7"/>
  <c r="K481" i="7"/>
  <c r="K478" i="7"/>
  <c r="K305" i="7"/>
  <c r="K501" i="7"/>
  <c r="M501" i="7" s="1"/>
  <c r="K495" i="7"/>
  <c r="M495" i="7" s="1"/>
  <c r="K633" i="7"/>
  <c r="K497" i="7"/>
  <c r="M497" i="7" s="1"/>
  <c r="K69" i="7"/>
  <c r="M69" i="7" s="1"/>
  <c r="K506" i="7"/>
  <c r="M506" i="7" s="1"/>
  <c r="K615" i="7"/>
  <c r="M615" i="7" s="1"/>
  <c r="K569" i="7"/>
  <c r="M569" i="7" s="1"/>
  <c r="K203" i="7"/>
  <c r="K299" i="7"/>
  <c r="G359" i="7"/>
  <c r="G354" i="7"/>
  <c r="I518" i="7"/>
  <c r="G89" i="7"/>
  <c r="K90" i="7" s="1"/>
  <c r="G56" i="7"/>
  <c r="K57" i="7" s="1"/>
  <c r="M57" i="7" s="1"/>
  <c r="G386" i="7"/>
  <c r="G385" i="7"/>
  <c r="G384" i="7"/>
  <c r="G383" i="7"/>
  <c r="I331" i="7"/>
  <c r="I330" i="7"/>
  <c r="G324" i="7"/>
  <c r="I329" i="7"/>
  <c r="G358" i="7"/>
  <c r="G357" i="7"/>
  <c r="G356" i="7"/>
  <c r="G355" i="7"/>
  <c r="G353" i="7"/>
  <c r="G352" i="7"/>
  <c r="G351" i="7"/>
  <c r="I517" i="7"/>
  <c r="I522" i="7"/>
  <c r="I523" i="7"/>
  <c r="G521" i="7"/>
  <c r="G520" i="7"/>
  <c r="O53" i="7"/>
  <c r="G350" i="7"/>
  <c r="G289" i="7"/>
  <c r="I644" i="7"/>
  <c r="I545" i="7"/>
  <c r="G577" i="7"/>
  <c r="G223" i="7"/>
  <c r="K224" i="7" s="1"/>
  <c r="G22" i="7"/>
  <c r="V45" i="7"/>
  <c r="G21" i="7"/>
  <c r="I641" i="7"/>
  <c r="I67" i="7"/>
  <c r="I593" i="7"/>
  <c r="I589" i="7"/>
  <c r="I144" i="7"/>
  <c r="G20" i="7"/>
  <c r="G640" i="7"/>
  <c r="G643" i="7"/>
  <c r="G327" i="7"/>
  <c r="G326" i="7"/>
  <c r="G328" i="7"/>
  <c r="G325" i="7"/>
  <c r="G323" i="7"/>
  <c r="G322" i="7"/>
  <c r="G338" i="7"/>
  <c r="G339" i="7"/>
  <c r="K349" i="7" s="1"/>
  <c r="I340" i="7"/>
  <c r="G345" i="7"/>
  <c r="G544" i="7"/>
  <c r="G381" i="7"/>
  <c r="I403" i="7"/>
  <c r="G402" i="7"/>
  <c r="G543" i="7"/>
  <c r="G542" i="7"/>
  <c r="G394" i="7"/>
  <c r="G541" i="7"/>
  <c r="G380" i="7"/>
  <c r="G143" i="7"/>
  <c r="G516" i="7"/>
  <c r="L37" i="17" l="1"/>
  <c r="K390" i="7"/>
  <c r="K382" i="7"/>
  <c r="K30" i="7"/>
  <c r="M30" i="7" s="1"/>
  <c r="K522" i="7"/>
  <c r="K644" i="7"/>
  <c r="K545" i="7"/>
  <c r="K144" i="7"/>
  <c r="K641" i="7"/>
  <c r="K403" i="7"/>
  <c r="G515" i="7"/>
  <c r="I436" i="7"/>
  <c r="I18" i="7"/>
  <c r="G588" i="7"/>
  <c r="K589" i="7" s="1"/>
  <c r="M144" i="7" l="1"/>
  <c r="I435" i="7"/>
  <c r="G514" i="7"/>
  <c r="I606" i="7"/>
  <c r="G604" i="7"/>
  <c r="I605" i="7"/>
  <c r="K605" i="7" s="1"/>
  <c r="G66" i="7"/>
  <c r="K67" i="7" s="1"/>
  <c r="M67" i="7" s="1"/>
  <c r="I17" i="7"/>
  <c r="G434" i="7" l="1"/>
  <c r="I137" i="7"/>
  <c r="G603" i="7"/>
  <c r="K606" i="7" s="1"/>
  <c r="G592" i="7"/>
  <c r="K593" i="7" s="1"/>
  <c r="M593" i="7" s="1"/>
  <c r="G321" i="7"/>
  <c r="I647" i="7"/>
  <c r="I288" i="7"/>
  <c r="G286" i="7"/>
  <c r="I141" i="7"/>
  <c r="G433" i="7"/>
  <c r="I51" i="7"/>
  <c r="G9" i="7"/>
  <c r="I136" i="7"/>
  <c r="G348" i="7"/>
  <c r="G513" i="7"/>
  <c r="I65" i="7"/>
  <c r="G64" i="7"/>
  <c r="G423" i="7"/>
  <c r="I47" i="7"/>
  <c r="I341" i="7"/>
  <c r="I287" i="7"/>
  <c r="G285" i="7"/>
  <c r="G40" i="7"/>
  <c r="I44" i="7"/>
  <c r="G409" i="7"/>
  <c r="I342" i="7"/>
  <c r="K342" i="7" s="1"/>
  <c r="I575" i="7"/>
  <c r="I574" i="7"/>
  <c r="I410" i="7"/>
  <c r="I411" i="7"/>
  <c r="I16" i="7"/>
  <c r="K435" i="7" l="1"/>
  <c r="K424" i="7"/>
  <c r="K436" i="7"/>
  <c r="K16" i="7"/>
  <c r="K411" i="7"/>
  <c r="I422" i="7"/>
  <c r="G346" i="7"/>
  <c r="G337" i="7"/>
  <c r="K341" i="7" s="1"/>
  <c r="I13" i="7"/>
  <c r="G10" i="7"/>
  <c r="G50" i="7"/>
  <c r="G15" i="7"/>
  <c r="G284" i="7"/>
  <c r="K288" i="7" s="1"/>
  <c r="G283" i="7"/>
  <c r="K287" i="7" s="1"/>
  <c r="G347" i="7"/>
  <c r="G320" i="7"/>
  <c r="K329" i="7" s="1"/>
  <c r="I468" i="7"/>
  <c r="I443" i="7"/>
  <c r="K13" i="7" l="1"/>
  <c r="I467" i="7"/>
  <c r="P45" i="7" l="1"/>
  <c r="G43" i="7"/>
  <c r="G39" i="7"/>
  <c r="K41" i="7" s="1"/>
  <c r="M41" i="7" s="1"/>
  <c r="I407" i="7"/>
  <c r="G421" i="7"/>
  <c r="G512" i="7"/>
  <c r="K518" i="7" s="1"/>
  <c r="G420" i="7"/>
  <c r="G63" i="7"/>
  <c r="K65" i="7" s="1"/>
  <c r="M65" i="7" s="1"/>
  <c r="I649" i="7"/>
  <c r="I130" i="7"/>
  <c r="I267" i="7"/>
  <c r="G408" i="7"/>
  <c r="K410" i="7" s="1"/>
  <c r="G344" i="7"/>
  <c r="K375" i="7" s="1"/>
  <c r="I127" i="7"/>
  <c r="G46" i="7"/>
  <c r="K47" i="7" s="1"/>
  <c r="G442" i="7"/>
  <c r="K443" i="7" s="1"/>
  <c r="G648" i="7"/>
  <c r="G646" i="7"/>
  <c r="K647" i="7" s="1"/>
  <c r="I271" i="7"/>
  <c r="G270" i="7"/>
  <c r="I432" i="7"/>
  <c r="G431" i="7"/>
  <c r="G573" i="7"/>
  <c r="K574" i="7" s="1"/>
  <c r="G572" i="7"/>
  <c r="K575" i="7" s="1"/>
  <c r="I539" i="7"/>
  <c r="G538" i="7"/>
  <c r="G49" i="7"/>
  <c r="K51" i="7" s="1"/>
  <c r="M51" i="7" s="1"/>
  <c r="I532" i="7"/>
  <c r="G531" i="7"/>
  <c r="I511" i="7"/>
  <c r="G510" i="7"/>
  <c r="G509" i="7"/>
  <c r="G140" i="7"/>
  <c r="G139" i="7"/>
  <c r="G466" i="7"/>
  <c r="K468" i="7" s="1"/>
  <c r="G417" i="7"/>
  <c r="I602" i="7"/>
  <c r="G601" i="7"/>
  <c r="G135" i="7"/>
  <c r="K137" i="7" s="1"/>
  <c r="I134" i="7"/>
  <c r="G134" i="7"/>
  <c r="G133" i="7"/>
  <c r="G132" i="7"/>
  <c r="K136" i="7" s="1"/>
  <c r="I55" i="7"/>
  <c r="G54" i="7"/>
  <c r="G6" i="7"/>
  <c r="G5" i="7"/>
  <c r="G4" i="7"/>
  <c r="G60" i="7"/>
  <c r="G115" i="7"/>
  <c r="G114" i="7"/>
  <c r="G113" i="7"/>
  <c r="G112" i="7"/>
  <c r="I419" i="7"/>
  <c r="I418" i="7"/>
  <c r="I414" i="7"/>
  <c r="I401" i="7"/>
  <c r="G400" i="7"/>
  <c r="G399" i="7"/>
  <c r="I335" i="7"/>
  <c r="G334" i="7"/>
  <c r="I275" i="7"/>
  <c r="K275" i="7" s="1"/>
  <c r="G266" i="7"/>
  <c r="G265" i="7"/>
  <c r="I264" i="7"/>
  <c r="G262" i="7"/>
  <c r="I263" i="7"/>
  <c r="G261" i="7"/>
  <c r="G260" i="7"/>
  <c r="G259" i="7"/>
  <c r="G258" i="7"/>
  <c r="G279" i="7"/>
  <c r="G278" i="7"/>
  <c r="G214" i="7"/>
  <c r="G210" i="7"/>
  <c r="G176" i="7"/>
  <c r="I280" i="7"/>
  <c r="I282" i="7"/>
  <c r="I281" i="7"/>
  <c r="I215" i="7"/>
  <c r="I211" i="7"/>
  <c r="I598" i="7"/>
  <c r="G596" i="7"/>
  <c r="G595" i="7"/>
  <c r="I597" i="7"/>
  <c r="G129" i="7"/>
  <c r="G128" i="7"/>
  <c r="I109" i="7"/>
  <c r="G108" i="7"/>
  <c r="G107" i="7"/>
  <c r="G105" i="7"/>
  <c r="G126" i="7"/>
  <c r="G125" i="7"/>
  <c r="G124" i="7"/>
  <c r="I123" i="7"/>
  <c r="G122" i="7"/>
  <c r="G121" i="7"/>
  <c r="I120" i="7"/>
  <c r="I119" i="7"/>
  <c r="G118" i="7"/>
  <c r="G117" i="7"/>
  <c r="G116" i="7"/>
  <c r="G14" i="7"/>
  <c r="G12" i="7"/>
  <c r="G11" i="7"/>
  <c r="G336" i="7"/>
  <c r="K340" i="7" s="1"/>
  <c r="G8" i="7"/>
  <c r="K44" i="7" l="1"/>
  <c r="M44" i="7" s="1"/>
  <c r="S45" i="7"/>
  <c r="Q49" i="7" s="1"/>
  <c r="K598" i="7"/>
  <c r="K597" i="7"/>
  <c r="K134" i="7"/>
  <c r="K127" i="7"/>
  <c r="K120" i="7"/>
  <c r="M47" i="7"/>
  <c r="K18" i="7"/>
  <c r="M18" i="7" s="1"/>
  <c r="K141" i="7"/>
  <c r="K422" i="7"/>
  <c r="K130" i="7"/>
  <c r="K267" i="7"/>
  <c r="K649" i="7"/>
  <c r="K271" i="7"/>
  <c r="M278" i="7" s="1"/>
  <c r="K432" i="7"/>
  <c r="K532" i="7"/>
  <c r="K511" i="7"/>
  <c r="K539" i="7"/>
  <c r="K419" i="7"/>
  <c r="K602" i="7"/>
  <c r="K55" i="7"/>
  <c r="M55" i="7" s="1"/>
  <c r="K335" i="7"/>
  <c r="K401" i="7"/>
  <c r="K264" i="7"/>
  <c r="K280" i="7"/>
  <c r="K263" i="7"/>
  <c r="K282" i="7"/>
  <c r="K215" i="7"/>
  <c r="M258" i="7" s="1"/>
  <c r="K211" i="7"/>
  <c r="K109" i="7"/>
  <c r="K106" i="7"/>
  <c r="M106" i="7" s="1"/>
  <c r="K123" i="7"/>
  <c r="M606" i="7" l="1"/>
  <c r="M273" i="7"/>
  <c r="M138" i="7"/>
  <c r="P55" i="7"/>
  <c r="Q55" i="7" s="1"/>
  <c r="O54" i="7"/>
  <c r="I62" i="7"/>
  <c r="G413" i="7" l="1"/>
  <c r="K414" i="7" s="1"/>
  <c r="I61" i="7"/>
  <c r="K62" i="7" s="1"/>
  <c r="M62" i="7" s="1"/>
  <c r="G406" i="7"/>
  <c r="G655" i="7" s="1"/>
  <c r="I177" i="7"/>
  <c r="K177" i="7" s="1"/>
  <c r="I7" i="7"/>
  <c r="I655" i="7" l="1"/>
  <c r="K407" i="7"/>
  <c r="H7" i="7"/>
  <c r="K7" i="7"/>
  <c r="M7" i="7" s="1"/>
  <c r="K655" i="7" l="1"/>
  <c r="M61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Piyoosh Sah</author>
  </authors>
  <commentList>
    <comment ref="AF73" authorId="0" shapeId="0" xr:uid="{E1F38BBF-A364-4279-8C7E-768D79C61586}">
      <text>
        <r>
          <rPr>
            <b/>
            <sz val="9"/>
            <color indexed="81"/>
            <rFont val="Tahoma"/>
            <family val="2"/>
          </rPr>
          <t>Piyoosh Sah:</t>
        </r>
        <r>
          <rPr>
            <sz val="9"/>
            <color indexed="81"/>
            <rFont val="Tahoma"/>
            <family val="2"/>
          </rPr>
          <t xml:space="preserve">
Asset-Heavy company
How much you’re paying for every Rs of assets owned by the company. Compare a stock’s current price-to-book to its historical averages, &lt; 1 is best but 1-2 is ok but not always</t>
        </r>
      </text>
    </comment>
    <comment ref="AG73" authorId="0" shapeId="0" xr:uid="{02CD9E3A-2209-4D71-B3CF-0791E67828C5}">
      <text>
        <r>
          <rPr>
            <b/>
            <sz val="9"/>
            <color indexed="81"/>
            <rFont val="Tahoma"/>
            <family val="2"/>
          </rPr>
          <t>Piyoosh Sah:</t>
        </r>
        <r>
          <rPr>
            <sz val="9"/>
            <color indexed="81"/>
            <rFont val="Tahoma"/>
            <family val="2"/>
          </rPr>
          <t xml:space="preserve">
How many times are you paying for its one year earning, lower than 20, more lower the better but not always</t>
        </r>
      </text>
    </comment>
    <comment ref="AH73" authorId="0" shapeId="0" xr:uid="{2282E58A-6D80-4A56-99D9-B85AB706251A}">
      <text>
        <r>
          <rPr>
            <b/>
            <sz val="9"/>
            <color indexed="81"/>
            <rFont val="Tahoma"/>
            <family val="2"/>
          </rPr>
          <t>Piyoosh Sah:</t>
        </r>
        <r>
          <rPr>
            <sz val="9"/>
            <color indexed="81"/>
            <rFont val="Tahoma"/>
            <family val="2"/>
          </rPr>
          <t xml:space="preserve">
Tech companies, 
DE should not be too high, ideal 0.  
DE ratio should be compared over a period of time, within industries and against a company’s historical ratios if reducing overtime, exception in Banks</t>
        </r>
      </text>
    </comment>
    <comment ref="AI73" authorId="0" shapeId="0" xr:uid="{5F6907BB-C9AF-4F46-9CE6-597457B3FFC4}">
      <text>
        <r>
          <rPr>
            <b/>
            <sz val="9"/>
            <color indexed="81"/>
            <rFont val="Tahoma"/>
            <family val="2"/>
          </rPr>
          <t>Piyoosh Sah:</t>
        </r>
        <r>
          <rPr>
            <sz val="9"/>
            <color indexed="81"/>
            <rFont val="Tahoma"/>
            <family val="2"/>
          </rPr>
          <t xml:space="preserve">
Current Assets/ Current Liabilities
Higher the better</t>
        </r>
      </text>
    </comment>
    <comment ref="AJ73" authorId="0" shapeId="0" xr:uid="{FAE583A8-88E7-441E-8625-38C9D988D26C}">
      <text>
        <r>
          <rPr>
            <b/>
            <sz val="9"/>
            <color indexed="81"/>
            <rFont val="Tahoma"/>
            <family val="2"/>
          </rPr>
          <t>Piyoosh Sah:</t>
        </r>
        <r>
          <rPr>
            <sz val="9"/>
            <color indexed="81"/>
            <rFont val="Tahoma"/>
            <family val="2"/>
          </rPr>
          <t xml:space="preserve">
It measures the profitability of a company.</t>
        </r>
      </text>
    </comment>
    <comment ref="AM73" authorId="0" shapeId="0" xr:uid="{2EF36FB5-7362-4D6B-9539-4E62778E630F}">
      <text>
        <r>
          <rPr>
            <b/>
            <sz val="9"/>
            <color indexed="81"/>
            <rFont val="Tahoma"/>
            <family val="2"/>
          </rPr>
          <t>Piyoosh Sah:</t>
        </r>
        <r>
          <rPr>
            <sz val="9"/>
            <color indexed="81"/>
            <rFont val="Tahoma"/>
            <family val="2"/>
          </rPr>
          <t xml:space="preserve">
Money generated against entire money invested.Should be above 20</t>
        </r>
      </text>
    </comment>
    <comment ref="AN73" authorId="0" shapeId="0" xr:uid="{D0C607FB-40FE-4D09-B0F6-FE0DD19446C9}">
      <text>
        <r>
          <rPr>
            <b/>
            <sz val="9"/>
            <color indexed="81"/>
            <rFont val="Tahoma"/>
            <family val="2"/>
          </rPr>
          <t>Piyoosh Sah:</t>
        </r>
        <r>
          <rPr>
            <sz val="9"/>
            <color indexed="81"/>
            <rFont val="Tahoma"/>
            <family val="2"/>
          </rPr>
          <t xml:space="preserve">
It measures the company's profitability and capital efficiency. Should be above 20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Piyoosh Sah</author>
  </authors>
  <commentList>
    <comment ref="F1" authorId="0" shapeId="0" xr:uid="{A38086D9-9112-4D65-954D-34CF97F6DE03}">
      <text>
        <r>
          <rPr>
            <b/>
            <sz val="9"/>
            <color indexed="81"/>
            <rFont val="Tahoma"/>
            <family val="2"/>
          </rPr>
          <t>Piyoosh Sah:</t>
        </r>
        <r>
          <rPr>
            <sz val="9"/>
            <color indexed="81"/>
            <rFont val="Tahoma"/>
            <family val="2"/>
          </rPr>
          <t xml:space="preserve">
Asset-Heavy company
How much you’re paying for every Rs of assets owned by the company. Compare a stock’s current price-to-book to its historical averages, 1-2 is better but not always</t>
        </r>
      </text>
    </comment>
    <comment ref="G1" authorId="0" shapeId="0" xr:uid="{85770AF2-60F7-4E03-AE32-7278B73E4825}">
      <text>
        <r>
          <rPr>
            <b/>
            <sz val="9"/>
            <color indexed="81"/>
            <rFont val="Tahoma"/>
            <family val="2"/>
          </rPr>
          <t>Piyoosh Sah:</t>
        </r>
        <r>
          <rPr>
            <sz val="9"/>
            <color indexed="81"/>
            <rFont val="Tahoma"/>
            <family val="2"/>
          </rPr>
          <t xml:space="preserve">
How many times are you paying for its one year earning, lower than 20, more lower the better but not always</t>
        </r>
      </text>
    </comment>
    <comment ref="H1" authorId="0" shapeId="0" xr:uid="{54399C2F-097B-4101-926D-46A1D85B42CE}">
      <text>
        <r>
          <rPr>
            <b/>
            <sz val="9"/>
            <color indexed="81"/>
            <rFont val="Tahoma"/>
            <family val="2"/>
          </rPr>
          <t>Piyoosh Sah:</t>
        </r>
        <r>
          <rPr>
            <sz val="9"/>
            <color indexed="81"/>
            <rFont val="Tahoma"/>
            <family val="2"/>
          </rPr>
          <t xml:space="preserve">
Tech companies, 
DE should not be too high, ideal 0.  
DE ratio should be compared over a period of time, within industries and against a company’s historical ratios if reducing overtime, exception in Banks</t>
        </r>
      </text>
    </comment>
    <comment ref="I1" authorId="0" shapeId="0" xr:uid="{1D219227-B615-4E00-ACDA-24DDDAC928CB}">
      <text>
        <r>
          <rPr>
            <b/>
            <sz val="9"/>
            <color indexed="81"/>
            <rFont val="Tahoma"/>
            <family val="2"/>
          </rPr>
          <t>Piyoosh Sah:</t>
        </r>
        <r>
          <rPr>
            <sz val="9"/>
            <color indexed="81"/>
            <rFont val="Tahoma"/>
            <family val="2"/>
          </rPr>
          <t xml:space="preserve">
Current Assets/ Current Liabilities
Higher the better</t>
        </r>
      </text>
    </comment>
    <comment ref="J1" authorId="0" shapeId="0" xr:uid="{BDCD1C5E-21D5-45D2-BD77-30724CF9B443}">
      <text>
        <r>
          <rPr>
            <b/>
            <sz val="9"/>
            <color indexed="81"/>
            <rFont val="Tahoma"/>
            <family val="2"/>
          </rPr>
          <t>Piyoosh Sah:</t>
        </r>
        <r>
          <rPr>
            <sz val="9"/>
            <color indexed="81"/>
            <rFont val="Tahoma"/>
            <family val="2"/>
          </rPr>
          <t xml:space="preserve">
It measures the profitability of a company.</t>
        </r>
      </text>
    </comment>
    <comment ref="M1" authorId="0" shapeId="0" xr:uid="{4FBDDAEB-317E-4E02-9DB1-CA09430BB546}">
      <text>
        <r>
          <rPr>
            <b/>
            <sz val="9"/>
            <color indexed="81"/>
            <rFont val="Tahoma"/>
            <family val="2"/>
          </rPr>
          <t>Piyoosh Sah:</t>
        </r>
        <r>
          <rPr>
            <sz val="9"/>
            <color indexed="81"/>
            <rFont val="Tahoma"/>
            <family val="2"/>
          </rPr>
          <t xml:space="preserve">
Money generated against entire money invested.Should be above 20</t>
        </r>
      </text>
    </comment>
    <comment ref="N1" authorId="0" shapeId="0" xr:uid="{A6460EFB-A415-4D29-8CEC-CA4F68D89B1A}">
      <text>
        <r>
          <rPr>
            <b/>
            <sz val="9"/>
            <color indexed="81"/>
            <rFont val="Tahoma"/>
            <family val="2"/>
          </rPr>
          <t>Piyoosh Sah:</t>
        </r>
        <r>
          <rPr>
            <sz val="9"/>
            <color indexed="81"/>
            <rFont val="Tahoma"/>
            <family val="2"/>
          </rPr>
          <t xml:space="preserve">
It measures the company's profitability and capital efficiency. Should be above 20</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D68F28-BE20-417C-A70E-A632E5359E16}" keepAlive="1" name="Query - Table 1" description="Connection to the 'Table 1' query in the workbook." type="5" refreshedVersion="8" background="1" saveData="1">
    <dbPr connection="Provider=Microsoft.Mashup.OleDb.1;Data Source=$Workbook$;Location=&quot;Table 1&quot;;Extended Properties=&quot;&quot;" command="SELECT * FROM [Table 1]"/>
  </connection>
</connections>
</file>

<file path=xl/sharedStrings.xml><?xml version="1.0" encoding="utf-8"?>
<sst xmlns="http://schemas.openxmlformats.org/spreadsheetml/2006/main" count="2150" uniqueCount="1033">
  <si>
    <t>1. Stock Screen/Discovery (Initial Filter)</t>
  </si>
  <si>
    <r>
      <t>Purpose:</t>
    </r>
    <r>
      <rPr>
        <sz val="12"/>
        <color theme="1"/>
        <rFont val="FkGroteskNeue"/>
        <charset val="1"/>
      </rPr>
      <t> Start with a broad list based on either sector interest, personal watchlist, or pre-filtered setups (e.g., recent price/volume activity).</t>
    </r>
  </si>
  <si>
    <r>
      <t>My comment:</t>
    </r>
    <r>
      <rPr>
        <sz val="12"/>
        <color theme="1"/>
        <rFont val="FkGroteskNeue"/>
        <charset val="1"/>
      </rPr>
      <t> Agree. You need a universe to work on, but don't over-filter initially or you’ll miss strong trends as they emerge.</t>
    </r>
  </si>
  <si>
    <t>2. Fundamental Check</t>
  </si>
  <si>
    <t>Fundamental Metric</t>
  </si>
  <si>
    <t>Metric/Threshold</t>
  </si>
  <si>
    <t>Column1</t>
  </si>
  <si>
    <t>Column2</t>
  </si>
  <si>
    <r>
      <t>Purpose:</t>
    </r>
    <r>
      <rPr>
        <sz val="12"/>
        <color theme="1"/>
        <rFont val="FkGroteskNeue"/>
        <charset val="1"/>
      </rPr>
      <t> Quickly ensure the stock has strong growth drivers—check sales growth, EPS growth, margin trends, and (ideally) rising institutional ownership.</t>
    </r>
  </si>
  <si>
    <t>EPS Growth</t>
  </si>
  <si>
    <t>&gt;25% YoY, 2 quarters</t>
  </si>
  <si>
    <t xml:space="preserve">AND
(Quarterly Profit Growth YoY &gt; 25)
AND
(Profit growth 5Year &gt; 25)
</t>
  </si>
  <si>
    <t xml:space="preserve">For Last 2 Quarters
AND
(Qtr Profit Var % &gt; 25)
</t>
  </si>
  <si>
    <r>
      <t>Usage:</t>
    </r>
    <r>
      <rPr>
        <sz val="12"/>
        <color theme="1"/>
        <rFont val="FkGroteskNeue"/>
        <charset val="1"/>
      </rPr>
      <t> Look for CANSLIM-like traits—rapid recent earnings/sales growth, or turnaround, and sector strength/leadership.</t>
    </r>
  </si>
  <si>
    <t>Sales Growth</t>
  </si>
  <si>
    <t>&gt;9% (2Q), or 25% (1Q)</t>
  </si>
  <si>
    <t xml:space="preserve">AND
(Qtr Sales Var % &gt; 9)
OR
(Qtr Sales Var % &gt; 25)  // for single quarter &gt;25%
</t>
  </si>
  <si>
    <t xml:space="preserve">Or For Annual
AND
(Sales growth 5Years &gt; 9)
</t>
  </si>
  <si>
    <r>
      <t>My comment:</t>
    </r>
    <r>
      <rPr>
        <sz val="12"/>
        <color theme="1"/>
        <rFont val="FkGroteskNeue"/>
        <charset val="1"/>
      </rPr>
      <t> Agree. This avoids “trading junk” and focuses you on leaders with real business momentum.</t>
    </r>
  </si>
  <si>
    <t>Margin Improvement</t>
  </si>
  <si>
    <t>Improving margins</t>
  </si>
  <si>
    <t xml:space="preserve">AND
(Operating profit margin &gt; 15)
</t>
  </si>
  <si>
    <t>3. Technical/Chart Structure</t>
  </si>
  <si>
    <t>Institutional Holding</t>
  </si>
  <si>
    <t>Increasing FII/DII/MF stake</t>
  </si>
  <si>
    <t xml:space="preserve">AND
(Promoter holding &gt; 40)
AND
(FII holding &gt; 5 OR DII holding &gt; 5)
</t>
  </si>
  <si>
    <t>Direct increase QoQ/YoY is not filterable—you need to sort by value and check holding change in Shareholding pattern tab manually</t>
  </si>
  <si>
    <r>
      <t>Purpose:</t>
    </r>
    <r>
      <rPr>
        <sz val="12"/>
        <color theme="1"/>
        <rFont val="FkGroteskNeue"/>
        <charset val="1"/>
      </rPr>
      <t> Study the chart for trend strength (higher highs/lows), clean price action, and appropriate price levels.</t>
    </r>
  </si>
  <si>
    <t>Industry Leadership</t>
  </si>
  <si>
    <t>Top performer in sector</t>
  </si>
  <si>
    <t>No direct screener variable; after filtering, sort results by "Marcap" (market cap) or "ROE" and pick top performers in sector</t>
  </si>
  <si>
    <r>
      <t>Usage:</t>
    </r>
    <r>
      <rPr>
        <sz val="12"/>
        <color theme="1"/>
        <rFont val="FkGroteskNeue"/>
        <charset val="1"/>
      </rPr>
      <t> Check for uptrend, price above key moving averages (10, 20, 50 EMA—all rising), and proximity to support/resistance.</t>
    </r>
  </si>
  <si>
    <t>ROE/Capital Efficiency</t>
  </si>
  <si>
    <t>ROE &gt;15%</t>
  </si>
  <si>
    <t xml:space="preserve">AND
(ROE &gt; 15)
</t>
  </si>
  <si>
    <r>
      <t>My comment:</t>
    </r>
    <r>
      <rPr>
        <sz val="12"/>
        <color theme="1"/>
        <rFont val="FkGroteskNeue"/>
        <charset val="1"/>
      </rPr>
      <t> Strongly agree. Look for “context”—is the stock trending, base-building, or extended? This tells you if timing is right.</t>
    </r>
  </si>
  <si>
    <t>Low Debt/Leverage</t>
  </si>
  <si>
    <t>Low or declining debt</t>
  </si>
  <si>
    <t xml:space="preserve">AND
(Debt to equity &lt; 0.5)
</t>
  </si>
  <si>
    <t xml:space="preserve">AND
(Debt &lt; Equity)
</t>
  </si>
  <si>
    <t>4. Indicator Confirmation</t>
  </si>
  <si>
    <r>
      <t>Purpose:</t>
    </r>
    <r>
      <rPr>
        <sz val="12"/>
        <color theme="1"/>
        <rFont val="FkGroteskNeue"/>
        <charset val="1"/>
      </rPr>
      <t> Confirm the quality of the setup using indicators, but </t>
    </r>
    <r>
      <rPr>
        <sz val="12"/>
        <color theme="1"/>
        <rFont val="FkGroteskNeue"/>
        <charset val="1"/>
      </rPr>
      <t>only as a supporting tool.</t>
    </r>
  </si>
  <si>
    <t>Usage:</t>
  </si>
  <si>
    <t>Segment</t>
  </si>
  <si>
    <t>Fund Example</t>
  </si>
  <si>
    <t>Amount</t>
  </si>
  <si>
    <r>
      <t>Nifty 8-13 year G-Sec</t>
    </r>
    <r>
      <rPr>
        <sz val="12"/>
        <color theme="1"/>
        <rFont val="FkGroteskNeue"/>
        <charset val="1"/>
      </rPr>
      <t> (a long-duration government bond fund)</t>
    </r>
  </si>
  <si>
    <t>Check RSI (alignment across weekly/monthly/daily, not just oversold/bought),</t>
  </si>
  <si>
    <t>Large Cap/Core</t>
  </si>
  <si>
    <t>HDFC BSE Sensex Index Fund</t>
  </si>
  <si>
    <r>
      <t>Overnight Fund</t>
    </r>
    <r>
      <rPr>
        <sz val="12"/>
        <color theme="1"/>
        <rFont val="FkGroteskNeue"/>
        <charset val="1"/>
      </rPr>
      <t> (ultra-short, good for cash management)</t>
    </r>
  </si>
  <si>
    <t>MACD crossover aligning with chart trend,</t>
  </si>
  <si>
    <t>Flexi Cap</t>
  </si>
  <si>
    <t>Jio Flexi Cap</t>
  </si>
  <si>
    <r>
      <t>Liquid Fund</t>
    </r>
    <r>
      <rPr>
        <sz val="12"/>
        <color theme="1"/>
        <rFont val="FkGroteskNeue"/>
        <charset val="1"/>
      </rPr>
      <t> (for parking excess funds, suitable for emergencies)</t>
    </r>
  </si>
  <si>
    <t>Volume spike confirming breakout or accumulation.</t>
  </si>
  <si>
    <t>HDFC Flexi</t>
  </si>
  <si>
    <r>
      <t>Money Market Fund</t>
    </r>
    <r>
      <rPr>
        <sz val="12"/>
        <color theme="1"/>
        <rFont val="FkGroteskNeue"/>
        <charset val="1"/>
      </rPr>
      <t> (short-term debt instruments, relatively stable)</t>
    </r>
  </si>
  <si>
    <r>
      <t>My comment:</t>
    </r>
    <r>
      <rPr>
        <sz val="12"/>
        <color theme="1"/>
        <rFont val="FkGroteskNeue"/>
        <charset val="1"/>
      </rPr>
      <t> Agree. Indicators are for confidence/confirmation, not for blind buy/sell signals.</t>
    </r>
  </si>
  <si>
    <t>Thematic/Satellite</t>
  </si>
  <si>
    <t>SBI Tech Opportunities</t>
  </si>
  <si>
    <t>Summary: The Order</t>
  </si>
  <si>
    <t>Midcap Growth</t>
  </si>
  <si>
    <t>Nifty Midcap 150 Index Fund</t>
  </si>
  <si>
    <t>Stock List (via Screeners/Theme/News/Volume Moves)</t>
  </si>
  <si>
    <t>Hybrid/Goal-based</t>
  </si>
  <si>
    <t>SBI Magnum Children’s Benefit</t>
  </si>
  <si>
    <t>Fundamental Check (growth, margins, leaders, FII/DII)</t>
  </si>
  <si>
    <t>Debt/Liquid</t>
  </si>
  <si>
    <t>Jio</t>
  </si>
  <si>
    <t>Technical/Chart Analysis (trend, breakouts, bases, levels)</t>
  </si>
  <si>
    <t>Commodity (Gold SIP)</t>
  </si>
  <si>
    <t>SBI Gold</t>
  </si>
  <si>
    <t>Should All Filters Be Used Together?
No, not always.
Using all rigidly together (AND conditions) is very restrictive. You may miss out on high-quality opportunities, especially in sectors where a few metrics are naturally lower (like lower ROE for capital-intensive sectors, or debt higher for infra).
You should prioritize the core growth and quality metrics and adapt or relax the rest depending on your goal and sector.
Which Filters Are Most Essential to Always Use Together?
Most robust filter set for growth &amp; safety is:
EPS Growth (&gt;25%, 2 quarters)
Sales Growth (&gt;9% or 25%+ recent Q)
ROE (&gt;15%)
Debt to Equity (&lt;0.5 or &lt;1 for some sectors)
Margin (set a basic minimum, e.g., &gt;12–15%)
Institutional holding is highly valuable, but on Screener, the increase itself can’t be directly screened (so use as a manual check for finalists).
Industry Leadership is also best checked by ranking the screen output within its sector.
Compositional Flexibility
How can you adjust?
For stricter/high conviction: Use all together. Result: Very few stocks but almost always strong trends, less risk of fundamental blowup.
For broader opportunity: Relax 1–2 filters. Example:
Allow ROE &gt; 12% instead of 15%
Allow Debt/Equity up to 1 for capex-heavy companies
Margin &gt; 10% for competitive or low-margin industries
If focusing on a sector: Adapt thresholds to what's considered "elite" in that sector (e.g., lower margins for auto, higher debt tolerance for infra/utility).
Why?
Some growth stocks briefly sacrifice margin or ROE to fund expansion—excluding them strictly may mean missing multi-baggers.
Sector/market structure varies: FMCG, Financials, Tech, and Manufacturing have different “good” levels for each ratio.
Best Practice Approach
Start with all filters for idea generation.
Soften (relax) one or two as needed to expand your shortlist, especially if you get &lt;20-30 results.
ALWAYS visually check the final list for segment leadership and rising institutional interest, even if you couldn’t filter directly.
For sector screens, adjust cutoffs for what “best in class” looks like.</t>
  </si>
  <si>
    <t>Indicator Confirmation (RSI/MACD/moving averages/volume for added conviction)</t>
  </si>
  <si>
    <t>Sum</t>
  </si>
  <si>
    <t>Sr No</t>
  </si>
  <si>
    <t>Portfolio Capital (₹)</t>
  </si>
  <si>
    <t>Share Name</t>
  </si>
  <si>
    <t>Stop Loss Price (₹)</t>
  </si>
  <si>
    <t>Max Risk per Trade (%)</t>
  </si>
  <si>
    <t>Risk per Trade (₹)</t>
  </si>
  <si>
    <t>Risk per Share (₹)</t>
  </si>
  <si>
    <t>Quantity to Buy</t>
  </si>
  <si>
    <t>Swing Trading</t>
  </si>
  <si>
    <t>Understanding Market Swings</t>
  </si>
  <si>
    <t xml:space="preserve"> Traders react to News, Earnings, Technical levels, and Sentiment shifts</t>
  </si>
  <si>
    <t>Pick stocks with high liquidity and strong price movements</t>
  </si>
  <si>
    <t>Analyze Charts and Trends</t>
  </si>
  <si>
    <t>Price trends and identify key support and resistance areas, pivot points, and trendlines</t>
  </si>
  <si>
    <t>Apply Technical Analysis Tools</t>
  </si>
  <si>
    <t>Indicators like Moving Averages, Relative Strength Index (RSI), Moving Average Convergence Divergence (MACD), Bollinger Bands, Fibonacci Retracements, and Volume analysis are used to validate trade setups and time entries/exits. price action patterns such as breakouts, reversals, or consolidations</t>
  </si>
  <si>
    <t>Moving Averages</t>
  </si>
  <si>
    <t>Relative Strength Index (RSI)</t>
  </si>
  <si>
    <t>Moving Average Convergence Divergence (MACD)</t>
  </si>
  <si>
    <t>Bollinger Bands</t>
  </si>
  <si>
    <t>Fibonacci Retracements</t>
  </si>
  <si>
    <t>Volume Analysis</t>
  </si>
  <si>
    <t>Set Entry and Exit Points</t>
  </si>
  <si>
    <t>Establish clear criteria for trade entry, such as confirmation of reversal at support/resistance, or momentum shifts identified by indicators. Define your exit targets and stop-loss positions before entering any trade to ensure disciplined execution</t>
  </si>
  <si>
    <t>Manage Risk</t>
  </si>
  <si>
    <t>Place stop-loss orders to protect against large losses, and size positions appropriately based on risk tolerance and distance to stop-loss. Assess the risk/reward ratio for each trade; many swing traders aim for potential rewards that are at least twice the risk taken.</t>
  </si>
  <si>
    <t>Keep a Trading Journal</t>
  </si>
  <si>
    <t>Document every trade, including entry/exit points, rationale, and outcomes to evaluate performance, learn from mistakes, and improve strategies over time.</t>
  </si>
  <si>
    <t>Manage Emotions and Discipline</t>
  </si>
  <si>
    <t>Stick to your trading plan, avoid chasing trades, and never deviate from your risk management guidelines.</t>
  </si>
  <si>
    <t>Continuously Review and Adjust</t>
  </si>
  <si>
    <t>Regularly review your trades and strategies, adapting to changing market environments and incorporating key lessons into future trades</t>
  </si>
  <si>
    <t>Swing Trading Strategies</t>
  </si>
  <si>
    <t>Trend Pullbacks</t>
  </si>
  <si>
    <t>Support and Resistance Trading</t>
  </si>
  <si>
    <t>Breakout Trading</t>
  </si>
  <si>
    <t>Fibonacci Retracement</t>
  </si>
  <si>
    <t xml:space="preserve">Fibonacci ratios of 23.6%, 38.2% and 61.8% on a chart can reveal potential reversal levels. </t>
  </si>
  <si>
    <t xml:space="preserve">A swing trader could enter a short-term sell position if the price in a downtrend retraces to and bounces off the 61.8% retracement level (acting as a resistance level), with the aim to exit the sell position for a profit when the price drops down to and bounces off the 23.6% Fibonacci line (acting as a support level). </t>
  </si>
  <si>
    <t>Chart Patterns</t>
  </si>
  <si>
    <t>Groww</t>
  </si>
  <si>
    <t>Amita Zerodha</t>
  </si>
  <si>
    <t>Zerodha</t>
  </si>
  <si>
    <t>Sector and Cap</t>
  </si>
  <si>
    <t>Stock</t>
  </si>
  <si>
    <t>Date</t>
  </si>
  <si>
    <t>Rate</t>
  </si>
  <si>
    <t>Units</t>
  </si>
  <si>
    <t>Total</t>
  </si>
  <si>
    <t>Sold @</t>
  </si>
  <si>
    <t>Sold Total</t>
  </si>
  <si>
    <t>Stoploss</t>
  </si>
  <si>
    <t>P/L</t>
  </si>
  <si>
    <t>Re-Entry</t>
  </si>
  <si>
    <t>Finance Term Lending</t>
  </si>
  <si>
    <t>Large Cap</t>
  </si>
  <si>
    <t>G</t>
  </si>
  <si>
    <t>IRFC</t>
  </si>
  <si>
    <t>Z</t>
  </si>
  <si>
    <t>ZA</t>
  </si>
  <si>
    <t>Indian Railways Fin Corp L</t>
  </si>
  <si>
    <t>IREDA</t>
  </si>
  <si>
    <t>Mid Cap</t>
  </si>
  <si>
    <t>SUM INV</t>
  </si>
  <si>
    <t>IFCI</t>
  </si>
  <si>
    <t>Grand Total</t>
  </si>
  <si>
    <t>Paints / Varnishes</t>
  </si>
  <si>
    <t>Berger Paint</t>
  </si>
  <si>
    <t>Asian Paints</t>
  </si>
  <si>
    <t>Telecommunications - Service</t>
  </si>
  <si>
    <t>Vodafone Idea</t>
  </si>
  <si>
    <t>Bharti Airtel</t>
  </si>
  <si>
    <t>Reliance Industries</t>
  </si>
  <si>
    <t>HFCL</t>
  </si>
  <si>
    <t>Banks - Private Sector</t>
  </si>
  <si>
    <t>Yes Bank</t>
  </si>
  <si>
    <t>HDFC Bank</t>
  </si>
  <si>
    <t>Micro Cap</t>
  </si>
  <si>
    <t>Dhanlaxmi Bank Ltd</t>
  </si>
  <si>
    <t>Small Cap</t>
  </si>
  <si>
    <t>Ujjivan</t>
  </si>
  <si>
    <t>ICICI Bank</t>
  </si>
  <si>
    <t>Mining</t>
  </si>
  <si>
    <t>NMDC</t>
  </si>
  <si>
    <t>Mineral &amp; Metal</t>
  </si>
  <si>
    <t>Adani Enterprise</t>
  </si>
  <si>
    <t>Vedanta</t>
  </si>
  <si>
    <t>Gravita India Ltd</t>
  </si>
  <si>
    <t>Sugar</t>
  </si>
  <si>
    <t>Shree Renuka Sugar</t>
  </si>
  <si>
    <t>Industrial Product</t>
  </si>
  <si>
    <t>Eimco Elecon India Ltd</t>
  </si>
  <si>
    <t>Cyientdlm</t>
  </si>
  <si>
    <t>ELECON Engineering</t>
  </si>
  <si>
    <t>Chemical</t>
  </si>
  <si>
    <t>HSCL</t>
  </si>
  <si>
    <t>Epigral</t>
  </si>
  <si>
    <t>Casting &amp; Forging</t>
  </si>
  <si>
    <t>AIA Engineering Ltd</t>
  </si>
  <si>
    <t>AIA Engineering</t>
  </si>
  <si>
    <t>Steel and Iron</t>
  </si>
  <si>
    <t>Tata Steel</t>
  </si>
  <si>
    <t>Shipping</t>
  </si>
  <si>
    <t>Shipping Corporation Of India</t>
  </si>
  <si>
    <t>GRSE</t>
  </si>
  <si>
    <t>GESHIP</t>
  </si>
  <si>
    <t>Port Opertor</t>
  </si>
  <si>
    <t>JSW Infra</t>
  </si>
  <si>
    <t>Railway</t>
  </si>
  <si>
    <t>Titagarh Rail Systems Ltd</t>
  </si>
  <si>
    <t>Kernex Microsystems</t>
  </si>
  <si>
    <t>Automobile</t>
  </si>
  <si>
    <t>Tata Motors</t>
  </si>
  <si>
    <t>Trading</t>
  </si>
  <si>
    <t>Seacoast Shipping Services Ltd</t>
  </si>
  <si>
    <t>Sold</t>
  </si>
  <si>
    <t>Sumeru Industries</t>
  </si>
  <si>
    <t>Power Generation/ Distribution</t>
  </si>
  <si>
    <t>Adani Power</t>
  </si>
  <si>
    <t>Reliance Power</t>
  </si>
  <si>
    <t>Suzlon Energy</t>
  </si>
  <si>
    <t>Rattan Power</t>
  </si>
  <si>
    <t>Adani Green Energy</t>
  </si>
  <si>
    <t>Adani Energy Solution</t>
  </si>
  <si>
    <t>Pharma</t>
  </si>
  <si>
    <t>Natco Pharma</t>
  </si>
  <si>
    <t>Aarti Drugs</t>
  </si>
  <si>
    <t>Aurobindo Pharma</t>
  </si>
  <si>
    <t>DrReddy</t>
  </si>
  <si>
    <t>Sunpharma</t>
  </si>
  <si>
    <t>Finance - Stock Broking</t>
  </si>
  <si>
    <t>Jio Financial Serv</t>
  </si>
  <si>
    <t>LLFICL</t>
  </si>
  <si>
    <t>Trading Food and Ethanol</t>
  </si>
  <si>
    <t>Mishthann Foods</t>
  </si>
  <si>
    <t>Construction &amp; Real Estate</t>
  </si>
  <si>
    <t>Supreme Holdings &amp; Hospitality</t>
  </si>
  <si>
    <t>Indiabull Real Estate</t>
  </si>
  <si>
    <t>Finance &amp; Investments</t>
  </si>
  <si>
    <t>Sharp Investments Ltd</t>
  </si>
  <si>
    <t>Oil Drilling / Allied Services</t>
  </si>
  <si>
    <t>ONGC</t>
  </si>
  <si>
    <t>IOC</t>
  </si>
  <si>
    <t>Capital Goods - Electrical Equipment</t>
  </si>
  <si>
    <t>CG Power</t>
  </si>
  <si>
    <t>Moschip</t>
  </si>
  <si>
    <t>Thermax Ltd</t>
  </si>
  <si>
    <t>Elecon Engineering</t>
  </si>
  <si>
    <t>Waste Management</t>
  </si>
  <si>
    <t>Eco Recyclying</t>
  </si>
  <si>
    <t>Retail</t>
  </si>
  <si>
    <t>Avenue Supermarts</t>
  </si>
  <si>
    <t>Reality</t>
  </si>
  <si>
    <t xml:space="preserve">Small Cap </t>
  </si>
  <si>
    <t>Shriram Properties</t>
  </si>
  <si>
    <t>E-Commerce App / Travel</t>
  </si>
  <si>
    <t>Easy Trip Planners Ltd</t>
  </si>
  <si>
    <t>Eternal (Zomato)</t>
  </si>
  <si>
    <t>Finance and Investment</t>
  </si>
  <si>
    <t>Greencrest Financial Services</t>
  </si>
  <si>
    <t>Tata Investment Corporation Ltd</t>
  </si>
  <si>
    <t xml:space="preserve">IT - Software </t>
  </si>
  <si>
    <t xml:space="preserve">	Infibeam Avenues	</t>
  </si>
  <si>
    <t>Orchasp Ltd</t>
  </si>
  <si>
    <t>L&amp;T Technology Services Ltd</t>
  </si>
  <si>
    <t>TCS</t>
  </si>
  <si>
    <t>INFY</t>
  </si>
  <si>
    <t>AIRAN</t>
  </si>
  <si>
    <t xml:space="preserve">Infrastructure Developers &amp; Operators </t>
  </si>
  <si>
    <t>IRCON</t>
  </si>
  <si>
    <t>IRB Infra</t>
  </si>
  <si>
    <t>Defence</t>
  </si>
  <si>
    <t>Apollo Micro Systems Ltd</t>
  </si>
  <si>
    <t>Bharat Electronics</t>
  </si>
  <si>
    <t>Bharat Forge</t>
  </si>
  <si>
    <t>Paras Defence</t>
  </si>
  <si>
    <t>Logistics</t>
  </si>
  <si>
    <t>Delhivery</t>
  </si>
  <si>
    <t>Tobacco</t>
  </si>
  <si>
    <t>GODFRYPHLP</t>
  </si>
  <si>
    <t xml:space="preserve"> Telecom-Infrastructure</t>
  </si>
  <si>
    <t>GTLINFRA</t>
  </si>
  <si>
    <t>Construction Material</t>
  </si>
  <si>
    <t>IFL Enterprise</t>
  </si>
  <si>
    <t>Ent / Elec Media Softw</t>
  </si>
  <si>
    <t>Vision Cinemas Ltd</t>
  </si>
  <si>
    <t>Zee Entertainment Enterprises Ltd</t>
  </si>
  <si>
    <t>Water Recycling</t>
  </si>
  <si>
    <t>iONExchang</t>
  </si>
  <si>
    <t>AI</t>
  </si>
  <si>
    <t>Action Plan</t>
  </si>
  <si>
    <t>Price</t>
  </si>
  <si>
    <t>P/B Ratio</t>
  </si>
  <si>
    <t>P/E Ratio</t>
  </si>
  <si>
    <t>Debt to Equity</t>
  </si>
  <si>
    <t>Current Ratio</t>
  </si>
  <si>
    <t>EPS</t>
  </si>
  <si>
    <t>Earnings Yield</t>
  </si>
  <si>
    <t>PEG</t>
  </si>
  <si>
    <t>ROE</t>
  </si>
  <si>
    <t>ROCE</t>
  </si>
  <si>
    <t>EV/EBIT</t>
  </si>
  <si>
    <t>ROA</t>
  </si>
  <si>
    <t>Interest Coverage Ratio</t>
  </si>
  <si>
    <t>Inventory Turnover Ratio</t>
  </si>
  <si>
    <t>Gold Shares</t>
  </si>
  <si>
    <t>Bharat Electronic (Drone)</t>
  </si>
  <si>
    <t>270-275</t>
  </si>
  <si>
    <t>marico</t>
  </si>
  <si>
    <t>Gravita India (CM- Recy) (Collection)</t>
  </si>
  <si>
    <t>Thermax (CM Related)</t>
  </si>
  <si>
    <t>Wabag (WWM)</t>
  </si>
  <si>
    <t>Epigral (Chems WWM)</t>
  </si>
  <si>
    <t>Airan Ltd</t>
  </si>
  <si>
    <t>OCCL (Insoluble Sulpher)</t>
  </si>
  <si>
    <t>Tata Investment</t>
  </si>
  <si>
    <t>220-225</t>
  </si>
  <si>
    <t>tata consumer</t>
  </si>
  <si>
    <t>Reliance</t>
  </si>
  <si>
    <t>Jio Financial</t>
  </si>
  <si>
    <t>colgate</t>
  </si>
  <si>
    <t>150-155</t>
  </si>
  <si>
    <t>itc</t>
  </si>
  <si>
    <t>Shipping Corpooration</t>
  </si>
  <si>
    <t>united spirits</t>
  </si>
  <si>
    <t>Larson and Tubro</t>
  </si>
  <si>
    <t>Tata Power</t>
  </si>
  <si>
    <t>Waree Green</t>
  </si>
  <si>
    <t>Waree Renewables</t>
  </si>
  <si>
    <t>KPI Green</t>
  </si>
  <si>
    <t>Power Mech</t>
  </si>
  <si>
    <t>Tejas Network</t>
  </si>
  <si>
    <t>Engineers India</t>
  </si>
  <si>
    <t>Ashoka Lylend</t>
  </si>
  <si>
    <t>Carborundum Universal Ltd</t>
  </si>
  <si>
    <t>Moschip Technologies</t>
  </si>
  <si>
    <t>Apollo Micro Systems</t>
  </si>
  <si>
    <t>HDFC</t>
  </si>
  <si>
    <t>Data Center</t>
  </si>
  <si>
    <t>Cooling, Security, Access Equip, Power, Backup Power, physical land, wiring and cable, switch gear, fire resistance</t>
  </si>
  <si>
    <t>Semiens India</t>
  </si>
  <si>
    <t>Schneider Electric</t>
  </si>
  <si>
    <t>ABB India</t>
  </si>
  <si>
    <t>Anant Raj Ltd</t>
  </si>
  <si>
    <t>Techno Electric &amp; Engg</t>
  </si>
  <si>
    <t>Netweb Technologies</t>
  </si>
  <si>
    <t>Cenlub Industries Ltd</t>
  </si>
  <si>
    <t>No Sugar, Chemical, Real estate and IT</t>
  </si>
  <si>
    <t>Adani Green Energy Limited (AGEL)</t>
  </si>
  <si>
    <t>NTPC Renewable Energy Limited (NREL)</t>
  </si>
  <si>
    <t>Sterling and Wilson Solar Limited</t>
  </si>
  <si>
    <t>Suzlon Energy Limited</t>
  </si>
  <si>
    <t>JSW Energy Limited</t>
  </si>
  <si>
    <t>Tata Power Renewable Energy Limited (TPREL)</t>
  </si>
  <si>
    <t>HEG Ltd</t>
  </si>
  <si>
    <t>Kaushalya Infrastructure Development Corpn Ltd</t>
  </si>
  <si>
    <t>Allcargo Logistics Ltd</t>
  </si>
  <si>
    <t>Gujarat Narmada Valley Fertilizers &amp; Chemicals Ltd</t>
  </si>
  <si>
    <t>Breakout - DMI + going up, DMI - going down and ADX is going above 20</t>
  </si>
  <si>
    <t>Penny Stock if available</t>
  </si>
  <si>
    <t>Southern Gas</t>
  </si>
  <si>
    <t>If available buy</t>
  </si>
  <si>
    <t>M Lakhamsi Ind</t>
  </si>
  <si>
    <t>Taparia Tools</t>
  </si>
  <si>
    <t>Penny Stock Investigation</t>
  </si>
  <si>
    <t>Sector</t>
  </si>
  <si>
    <t>Shekhawati Poly-Yarn Ltd</t>
  </si>
  <si>
    <t>Swasti Vinayaka Synthetics Ltd</t>
  </si>
  <si>
    <t>Vandana Knitwear Ltd.</t>
  </si>
  <si>
    <t>Mittal Life Style Ltd</t>
  </si>
  <si>
    <t>BLS Infotech Ltd</t>
  </si>
  <si>
    <t>Symbiox Investment &amp; Trading Co Ltd</t>
  </si>
  <si>
    <t>Mangalam Industrial Finance Ltd</t>
  </si>
  <si>
    <t>Rico Auto Industries Ltd.</t>
  </si>
  <si>
    <t>Low Interinsic</t>
  </si>
  <si>
    <t>Bharat Dynamics</t>
  </si>
  <si>
    <t>NCC Ltd</t>
  </si>
  <si>
    <t>Rail Vikas Nigam</t>
  </si>
  <si>
    <t>Apar</t>
  </si>
  <si>
    <t>Galactico Corporate Services Ltd</t>
  </si>
  <si>
    <t>Lesha Industries Ltd</t>
  </si>
  <si>
    <t>BSEL ALGO</t>
  </si>
  <si>
    <t>Siemens</t>
  </si>
  <si>
    <t>Electronic Design Automation</t>
  </si>
  <si>
    <t xml:space="preserve"> </t>
  </si>
  <si>
    <t>CAR%</t>
  </si>
  <si>
    <t>Net NPA 3 YA</t>
  </si>
  <si>
    <t>NIM</t>
  </si>
  <si>
    <t>CASA%</t>
  </si>
  <si>
    <t>Cost of Liability</t>
  </si>
  <si>
    <t>Advances Growth%</t>
  </si>
  <si>
    <t>Persistent</t>
  </si>
  <si>
    <t>Happiest Minds</t>
  </si>
  <si>
    <t>KPIT</t>
  </si>
  <si>
    <t>Saksoft</t>
  </si>
  <si>
    <t>Potential</t>
  </si>
  <si>
    <t>Mold -Tek Packaging</t>
  </si>
  <si>
    <t>Fine Organics Industries (food grade Chemical)</t>
  </si>
  <si>
    <t>Avas Financiers</t>
  </si>
  <si>
    <t>Alkyl Amines (Pharma industry support)</t>
  </si>
  <si>
    <t>Garware technical Fibers (Technical Textiles)</t>
  </si>
  <si>
    <t>Morya</t>
  </si>
  <si>
    <t>Gayatri Projects</t>
  </si>
  <si>
    <t>Rathi Steel</t>
  </si>
  <si>
    <t>Surana Solar</t>
  </si>
  <si>
    <t>Mosschip</t>
  </si>
  <si>
    <t>SPEL</t>
  </si>
  <si>
    <t>Mic</t>
  </si>
  <si>
    <t>Urja Global</t>
  </si>
  <si>
    <t>Sarthak Metals</t>
  </si>
  <si>
    <t>Monopoly</t>
  </si>
  <si>
    <t>Vinati Organics</t>
  </si>
  <si>
    <t>Zydus Wellness</t>
  </si>
  <si>
    <t>Praj Industries</t>
  </si>
  <si>
    <t>Eco Corri &amp; Vande Bharat 35 years</t>
  </si>
  <si>
    <t>BHEL</t>
  </si>
  <si>
    <t xml:space="preserve">Teetagarh </t>
  </si>
  <si>
    <t>RVNL</t>
  </si>
  <si>
    <t>BCPL Railway Infrastructure Ltd</t>
  </si>
  <si>
    <t>BEML</t>
  </si>
  <si>
    <t>Medha Servo Drives</t>
  </si>
  <si>
    <t>Alstom</t>
  </si>
  <si>
    <t>Crompton Greaves Limited (CGL)</t>
  </si>
  <si>
    <t>Economic Corridre and G20 Impact Portfolio 20</t>
  </si>
  <si>
    <t xml:space="preserve">Shipping Stocks </t>
  </si>
  <si>
    <t>Pipeline Stocks</t>
  </si>
  <si>
    <t>Cable Stocks</t>
  </si>
  <si>
    <t>Infosys Ltd</t>
  </si>
  <si>
    <t>Tata Motor</t>
  </si>
  <si>
    <t>Dr. Reddy's laboratories</t>
  </si>
  <si>
    <t>Olectra Greentech</t>
  </si>
  <si>
    <t>Mahindra and Mahindra Financial</t>
  </si>
  <si>
    <t>Hindustan Aeronautics Ltd</t>
  </si>
  <si>
    <t>Marksons Pharma Ltd</t>
  </si>
  <si>
    <t>Piramal Pharma</t>
  </si>
  <si>
    <t>Waaree technologies</t>
  </si>
  <si>
    <t>NTPC Ltd</t>
  </si>
  <si>
    <t>Tata Consumer Product ltd</t>
  </si>
  <si>
    <t>Borosil Renewables</t>
  </si>
  <si>
    <t>Rain Industries</t>
  </si>
  <si>
    <t>Centum Electronics</t>
  </si>
  <si>
    <t>Sterlite Industries (India) Ltd (Merged)</t>
  </si>
  <si>
    <t xml:space="preserve">1. Investor Checklist (Medium/Long Term)
Absolute Must (Top Priority)
Management Quality: Integrity, competence, rising promoter holding.
Growth Consistency: Earnings, revenue, and/or EPS compounding 3–5+ years.
Return on Capital: ROE/ROCE &gt; 15–18% (with stable or improving trend).
Debt Levels: Low debt/equity (typically &lt;0.5 for most sectors).
Free Cash Flow: Positive, steadily rising (shows true business health).
Competitive Advantage: Moat, market share gains, industry outperformance.
Valuation vs. history/sector: PE, PEG, PB, EV/EBITDA within/below historic median—don’t pay any price for growth!
Red Flags: Avoid if: falling margins, recurring pledging, auditor resignations, heavy dilution, major legal/audit concerns.
Secondary Importance
Dividend History: Reliable payouts, not mandatory for all, but sign of mature, disciplined company.
Macro/Sector Checks: GDP, monsoon (India), policy changes/PLI, regulations impacting sector. Extra point if tailwinds favor the company.
Entry/Exit Timing
Technicals (RSI 40–60, DMI/ADX, support levels): Use only for fine-tuning entry/exit, not stock selection.
Partial exit on 30–40% surge above normal value or if fundamentals start weakening.
2. Swing Trader Checklist (Short Term)
Absolute Must (Top Priority)
Trend Strength: Price above key moving averages (9/20/50 SMA), rising volume.
Momentum: RSI 55–70 for long trades (NOT extreme overbought), 30–45 for shorts, rising MACD, DMI +DI &gt; -DI, ADX &gt; 20.
Breakout/Support: Look for break above prior resistance (preferably with volume spike), or bounce off confirmed support.
Volatility Band: Bollinger Band expansions, price hugging upper/lower band for continuations; contractions for pre-breakout.
Risk Level: Near support for longs so stops are close; NEVER trade stretched, late moves.
Secondary Importance
Sector/Market Confirmation: Index or sector is not in correction—avoid swimming against trend.
Intraday/weekly volume spikes: For confirmation.
Not illiquid stock: Min volume/delivery percent; avoid stocks with frequent “operator” candles or wild gaps.
Red Flags
Avoid stocks with upcoming earnings, board meetings, or uncertain events if swing trading.
3. What Both Should Avoid
Chasing FOMO moves or stocks discussed widely just after breakout—risk/reward deteriorates fast.
Ignoring risk management; use absolute stop losses and/or trailing stops regardless of conviction.
Ignoring macro red flags (elevated VIX, global panic) for new large positions.
</t>
  </si>
  <si>
    <t xml:space="preserve">
Core Category Breakdown and Priorities
1. Self-Assessment &amp; Capital Allocation (Top Priority)
Know yourself (investment style, horizon, risk): Determines your filter for all analysis.
Diversification rules (no more than 8 per company, 25 per sector, minimum 15 companies, 4 sectors): Risk control foundation.
2. Macroeconomic &amp; Industry Filters (Important for Context)
GDP growth, inflation/deflation, forex reserves, BoP, monsoon, PLI, import bans: Assesses market phase and sector tailwinds/headwinds.
National/sector growth drivers: For sector allocation.
3. Qualitative &amp; Management Assessment (Critical for Indian Markets)
Mature, trustworthy, growth-oriented management.
Promoter stake (should be high or rising).
Capital efficiency, inside capital vs. outside funding.
Annual report: Strategies, goals, legal issues, audit standards.
Competitive advantage (moat), sector dominance, execution track record, peer comparison.
4. Fundamental &amp; Valuation Analysis
a. Company Financial Health
Revenue/profit growth, stable/compounding EPS.
ROE (15-20%+), ROCE (high).
Debt/equity (low for most, except banks/fin).
Positive/stable cash flow, operating CF &gt; net income.
PEG, P/E relative to sector/own history.
Free cash flow, capital allocation quality.
b. Ratios &amp; Screens
PE, PBV, EV/EBITDA, PCF.
Dividend sustainability/yield (if income focus).
Current/quick/cash ratios.
Asset turnover, inventory/cash cycle (sector-specific).
For banks: NIM, CASA, NPA, CAR, PCR.
c. Red Flags
Auditor fee spikes, related-party transactions.
Negative cash flow, declining promoter holding, excessive dilution.
Missed guidance over several years.
5. Technical Analysis (For Entry/Exit, Not Stock Selection)
Trend indicators: 50DMA, 200DMA (bullish if price above).
Momentum/strength: RSI (30-70 with 14-day period), MACD crossovers.
Volatility: Bollinger Bands (band contractions/expansions for setup).
Direction: DMI/ADX (trend confirmation if ADX &gt; 20-25, +DI/-DI cross for entry signals).
Stoch RSI: Timing near-term reversals (above 80 = overbought; below 20 = oversold).
Supertrend: Quick trend-following, but use with primary indicator like RSI.
Volume: Higher delivery = more reliability; analyze on breakouts.
6. Entry/Exit &amp; Trading Discipline
Entry: Only when technicals align after fundamentals, look for strong DMI/ADX, momentum, support/resistance breaks.
Exit/Partial Exit: Trim on overbought/volume spikes, red candle near upper band, or multi-indicator exhaustion.
7. Ongoing Portfolio &amp; Market Monitoring
Price against historical median P/E, peer comparison.
Changes in sector performance vs. broad indices.
India VIX for risk reading (&gt;20, expect correction).
React to news only if fundamentals change and stocks haven't factored it.
Most Important Missing or Rarely-Stressed Points
Risk-Adjusted Position Sizing: Never bet too much on one idea, even if it ticks all boxes.
Drawdown Management: Have absolute loss limits/portfolio stops.
Multi-Timeframe Technical Confirmation: Check both daily/weekly for alignment.
Event-Driven Filters: Be aware of upcoming earnings, dividends, ex-splits for volatility risk.
Behavioral Bias Check: Avoid chasing (FOMO), revenge trading, confirmation bias.
Suggested Priority Order for Building/Reviewing Your List
Self-assessment &amp; diversification
Macro &amp; sector analysis
Qualitative &amp; promoter/management checks
Fundamental, financial ratios &amp; growth
Red flags &amp; warning signs
Valuation (PE, PEG, PB etc.)
Technicals for entry/timing/trading
Ongoing review, peer and historical comparison
Risk management (position size, portfolio stop-loss, drawdown limits)</t>
  </si>
  <si>
    <t>Know yourself</t>
  </si>
  <si>
    <t>Medium Term Investor - 3 months to a Year
Not more than 8% investment in a single company and not more than 25% in a sector. Min 15 companies and 4 sectors.</t>
  </si>
  <si>
    <t>Small Cap - Below 5000 Cr
Mid Cap - 5000 - 20000 Cr
Large Cap - 20000 Cr or More</t>
  </si>
  <si>
    <t>National Economy Analysis - High or Low GDP (Growing is best), 
Inflation / Deflation both highs are bad (Steady Inflation is sign of Growth, 
Forex (Foreign Exchange) Reserve Position, 
Surplus Balance of Payments (Exports- Imports) 
Deficit BOP (Imports - Exports), 
Above Average Monsoon positively impacts the stock Market PLI effect and Import Ban have effect on industries</t>
  </si>
  <si>
    <t>Assessment for Multibagger</t>
  </si>
  <si>
    <r>
      <t xml:space="preserve">Small / Mid Cap
Focused, Mature, Committed and Competent Mgt
Capital Efficiency and Capital allocation locally not from outside country
Continuous business and profit growth, 25% compounding stories
</t>
    </r>
    <r>
      <rPr>
        <b/>
        <sz val="11"/>
        <color theme="1"/>
        <rFont val="Calibri"/>
        <family val="2"/>
        <scheme val="minor"/>
      </rPr>
      <t xml:space="preserve">EPS Growth along with PE Expansion, 
</t>
    </r>
    <r>
      <rPr>
        <sz val="11"/>
        <color theme="1"/>
        <rFont val="Calibri"/>
        <family val="2"/>
        <scheme val="minor"/>
      </rPr>
      <t xml:space="preserve">market share growth against the market size (if size is same and share is increasing then good but if size is also increasing and share is also increasing then best)
Oppurtunity size like in defence, Railway, speciality chemical
Real Cash Flow
</t>
    </r>
    <r>
      <rPr>
        <b/>
        <sz val="11"/>
        <color theme="1"/>
        <rFont val="Calibri"/>
        <family val="2"/>
        <scheme val="minor"/>
      </rPr>
      <t>PEG Ratio, PE against Growth (even high PE can be good if growth is consistent 20% and if PE is 10 but growth is not there it could be a bad stock)</t>
    </r>
  </si>
  <si>
    <t xml:space="preserve">Qualitative Analysis </t>
  </si>
  <si>
    <t>Know your Company: Fundamental Analysis
Annual Report
Mgt Discussions, Efficiency and legal issues
Strategies, 
Objectives, 
Goals
Audit Report
Important Ratio
Industry Analysis
Competitive Advantage
8 Pointer Theory</t>
  </si>
  <si>
    <t xml:space="preserve">
Identify small cap or mid cap sector or leadership or supply side dominance, driven promoters, 20/25% growth potential
Stock Valuation - 
Know about the business
Discounted Cash Flow &gt;&gt;
1. Find Free Cash Flow each year
2. Operating Cash Flow - Capital Expenditure each year
3 Free Cash Flow = Operating Cash Flow - Maintenance CapEx
Historical Growth rate of Company upto 10 years
General Growth rate of Industry
Understand Growth drivers of company and how they will impact Cash Flow</t>
  </si>
  <si>
    <t>Quantitative Analysis</t>
  </si>
  <si>
    <t>Company Analysis - 
Balance Sheet 
P&amp;L
Cashflow 
Foot Notes to Accounts (Any big related party transactions could be a red flag)
Review Auditor statement, any big changes in Auditor fees (Fee growth faster than revenue growth) could be a red flag
Statement of Changes in Equity if applicable
Go through last 5 years annual report and see what they had planned and what has been achieved to establish track record</t>
  </si>
  <si>
    <t>Checklist for stock identification:
Should be Market Leader  (supply side dominance)- CMP (Current Market price)
Strong mgt, smaller companies with high vision and probabilities
Capital allocation and quality of capital allocation (CAPAX)
MOTE
Positive Operating Cash Flow
Free Cash Flow- High
Debt - minimum or NIL
Promoter stake should be high
Balance Public float should be Institutionally Held
ROE = Min 15-20%
ROCE - High
Net Income - High
Stable Growth in Profit</t>
  </si>
  <si>
    <t xml:space="preserve">
MACD
Higher the D (delivery %) stronger the confidence of shareholders. 
EPS growth, If EPS is continuously growing and PE is declining means that Price of share is comparatively cheaper currently. 
Compare Current price against the Median PE for better understanding
Peer Comparision</t>
  </si>
  <si>
    <t>Know Financials:
Valuation:
Undervalued/ Overvalued
Price to Sales
PE
EV/Ebitda
Fundamentals have changed? News? 
If fundamentals  change and Stocks do not react immidiately then could be an oppurtunity
22.5* EPS* B/S Sq root</t>
  </si>
  <si>
    <t>India Vix</t>
  </si>
  <si>
    <t>If above 20 then market will get corrected</t>
  </si>
  <si>
    <t>Narrow Indices vs Broader Indices</t>
  </si>
  <si>
    <t>If Narrow indices like Nifty 50 is growing faster then Broader Indices like Nifty 100/ Nifty 500 then it is negative sigh and can lead to correction as people are investing more on selective stocks</t>
  </si>
  <si>
    <t>Technical Analysis:</t>
  </si>
  <si>
    <t>Moving Averages
50 DMA is short term, 200DMA is long term average, If the stock price is above 200DMA it is bullish and if it is below it is bearish.</t>
  </si>
  <si>
    <t xml:space="preserve">RSI (Relative Strength Index) - A momentum oscillator that measures the magnitude of price change. 14 day time frame, RSI &lt; 30 is over sold (possiblity of trend reversal), RSI &gt; 70 is over bought and likely to be headed for trend reversal.   </t>
  </si>
  <si>
    <t>Entry Point Decision</t>
  </si>
  <si>
    <t>Locating Breakouts:
DMI + going up, DMI - going down and ADX is going above 20, good time to enter trade. Or DMI + crosses DMI - and its slope becomes steep.
+DI (Blue, 16.28): This is rising and above the -DI (Orange, 25.70)—however, +DI remains lower than ADX, indicating uptrend is present but not dominant.
-DI (Orange, 25.70): Still elevated compared to +DI—there’s a fight, bears have not fully surrendered, and a retracement could happen.
ADX (Pink, 23.65): A reading &gt;20 suggests a trend, but this level is just moderate, not strong (a powerful trend is usually signaled when ADX &gt; 25–30 and rising).</t>
  </si>
  <si>
    <t>Input the following filter parameters into your chosen screening tool:
+DI going up (rising trend)
-DI going down (falling trend)
ADX &gt; 20 (strong trend confirmation)</t>
  </si>
  <si>
    <t>Need More Info</t>
  </si>
  <si>
    <t>Bollinger Bands - Volatility Indicator to measure overbought and oversold conditions, it consists of simple moving average and 2 lines plotted at 2 standard deviations on either side of central moving average line. The outer lines make up the band.
When market is quite, tthe bands contract and when the market is loud the bands expand. Band contracts when less volatility and is range bound, band expands when the market is volatile and trending, 1 Day time frame</t>
  </si>
  <si>
    <t>Stochastic Indicator - momentum Indicator to find where trend might be ending. It is range bound with value between 0-100. Over 80 is overbought range and less than 20 are oversold range and can lead to uptrend (may have exceptions). When trading with SI always look for reversal candlestick pattern, when SI is below 20, need to look for bullish candlestick pattern  and when SI is above 80, need to look for bearish candlestick pattern.</t>
  </si>
  <si>
    <t>Supertrend - is a trend following indicator as moving averages, with key parameters as 'period' which refers to the number of days and the 'multiplier' which refers to value by which the Average True Range ATR is multiplied. It is the most direct indicator which gives Buy and Sell Signals on the chart. This should be best used with other indicators like RSI or Stochastic to increase signal quality. Supertrend performs badly in sideways market and gives false signals.</t>
  </si>
  <si>
    <t>Trading Indicators</t>
  </si>
  <si>
    <t>ATR</t>
  </si>
  <si>
    <t xml:space="preserve">Average True Range - Average Movement of price for the last 14 candles. Total of Price movement of the last 14 total pips/14. </t>
  </si>
  <si>
    <t>Top Financial Ratios</t>
  </si>
  <si>
    <t>Earnings Per Share (EPS)</t>
  </si>
  <si>
    <r>
      <t xml:space="preserve">It measures the profitability of a company. For investors who are interested in a steady source of income, the EPS ratio can indicate the room a company has for increasing its existing dividend. It is however meaningless to compare the absolute EPS figure instead </t>
    </r>
    <r>
      <rPr>
        <b/>
        <sz val="11"/>
        <color theme="1"/>
        <rFont val="Calibri"/>
        <family val="2"/>
        <scheme val="minor"/>
      </rPr>
      <t xml:space="preserve">we should compare  their share prices, earnings yield (Earnings/number of shared) </t>
    </r>
  </si>
  <si>
    <t>Higher the EPS the better except:
1 should not be due to non operational income
2 should not be due to share dilution like issue of additional share etc
3 debt levels/ interest can have an impact
4 Industry growth and market sentiments can also make it lower</t>
  </si>
  <si>
    <t>Price-to-Earnings (P/E) ratio</t>
  </si>
  <si>
    <r>
      <t xml:space="preserve">The price to earnings ratio (PE) shows the number of times the share price covers the earnings per share over a 12 month period. How many times are you paying for its one year earning. It is measured by taking a company’s current share price and dividing this by earnings per share (EPS). PE increases if company starts showing more growth.
A company’s PE ratio should not be analysed as a standalone number. 
It may be interpreted in many ways depending on whether it is being compared with the company’s historical PE, the industry PE or even the market PE. Today's PE should be compared with Historical PE, Historical PE should be compared against profit growth history. 
You should also compare a stock’s current PE with its average multiple over the past three, five or 10 years. If the current ratio is lower than the average, you may have spotted a bargain, assuming the company has growth potential. </t>
    </r>
    <r>
      <rPr>
        <b/>
        <sz val="11"/>
        <color theme="1"/>
        <rFont val="Calibri"/>
        <family val="2"/>
        <scheme val="minor"/>
      </rPr>
      <t>If a stock shows low PE with historical high profit growth should be watched.</t>
    </r>
  </si>
  <si>
    <t>Relevant to  more mature and stable industries, may not provide complete picture on High Growth industries and financial services. Less meaningful on Cyclical Industries and real state. 
1 A share trading below the industry average P/E ratio might be considered relatively low.
2 A P/E ratio significantly below the company's historical average could be considered low, but be cautious of temporary fluctuations and consider the reasons behind any significant changes.
3 During periods of economic uncertainty or market downturns, investors may perceive a lower P/E ratio as more attractive. Conversely, during bull markets or periods of optimism, P/E ratios may expand.
4 A share with a low P/E ratio but strong earnings growth potential may be undervalued if the market underestimates its future earnings.
A low P/E ratio may be justified if there are concerns about the company's financial health, competitive position, or industry challenges.
5 Shares that are out of favor or facing temporary challenges may have lower P/E ratios even if they have strong fundamentals.
Under 15: Could suggest the stock is undervalued or the company has lower growth prospects.
15 to 20: Often considered a normal range, suggesting fair valuation.
Above 20: Could suggest overvaluation unless the company has strong growth prospects.</t>
  </si>
  <si>
    <t xml:space="preserve">https://www.youtube.com/watch?v=ccLPqIzh0CU
</t>
  </si>
  <si>
    <t>Price-to-Book (P/B) ratio</t>
  </si>
  <si>
    <r>
      <t xml:space="preserve">PBV describes how much you’re paying for every Rs of assets owned by the company. To calculate PBV, divide the market capitalization by the difference between total assets and total liabilities.
The idea is to approximate the money left if the business shut down and sold everything. As with most price multiple metrics, </t>
    </r>
    <r>
      <rPr>
        <b/>
        <i/>
        <sz val="11"/>
        <color theme="1"/>
        <rFont val="Calibri"/>
        <family val="2"/>
        <scheme val="minor"/>
      </rPr>
      <t>you should compare a stock’s current price-to-book to its historical averages</t>
    </r>
    <r>
      <rPr>
        <i/>
        <sz val="11"/>
        <color theme="1"/>
        <rFont val="Calibri"/>
        <family val="2"/>
        <scheme val="minor"/>
      </rPr>
      <t xml:space="preserve">.
Share price/ Book Value per share, BV= (Assets - Libilities),  BV per share = BV/ Share, sectors prone of cyclical movements. </t>
    </r>
  </si>
  <si>
    <t>Asset-Heavy companies as Power, Infra, Cement, Banks etc, ignore PE here</t>
  </si>
  <si>
    <t>Price to Book</t>
  </si>
  <si>
    <t>ROE, Return on Equity</t>
  </si>
  <si>
    <r>
      <t xml:space="preserve">Money generated against entire money invested . ROE measures a company’s efficiency at generating profits from money invested in the company. You’d calculate ROE by dividing shareholders’ equity into net income.
ROE is useful for measuring management’s effectiveness. The downside is that it’s not instructive for young companies that aren’t profitable. Uber, for example, has an ROE of -44%.
A higher ROE is better. A stock with a higher ROE produces more profit from each Rs of equity on its balance sheet. </t>
    </r>
    <r>
      <rPr>
        <b/>
        <i/>
        <sz val="11"/>
        <color theme="1"/>
        <rFont val="Calibri"/>
        <family val="2"/>
        <scheme val="minor"/>
      </rPr>
      <t>High ROE is a key, above 20 is good but with 0 Debt</t>
    </r>
  </si>
  <si>
    <t>Return on capital employed (ROCE)</t>
  </si>
  <si>
    <r>
      <t xml:space="preserve">This ratio shows how the company using its capital to generate profits. It measures the company's profitability and capital efficiency.
</t>
    </r>
    <r>
      <rPr>
        <b/>
        <sz val="11"/>
        <color theme="1"/>
        <rFont val="Calibri"/>
        <family val="2"/>
        <scheme val="minor"/>
      </rPr>
      <t>Higher ROCE Indicates profits</t>
    </r>
    <r>
      <rPr>
        <sz val="11"/>
        <color theme="1"/>
        <rFont val="Calibri"/>
        <family val="2"/>
        <scheme val="minor"/>
      </rPr>
      <t xml:space="preserve"> are invested into the company for the benefit of shareholders and it's a sign of a successful growth company.</t>
    </r>
  </si>
  <si>
    <t>Manufacturing</t>
  </si>
  <si>
    <t>ROE vs ROCE</t>
  </si>
  <si>
    <t>ROE: Net Income / Shareholders Equity. ROCE: EBIT/ Total Capital Deployed (Total Capital +Debt)
CE: Capital Employed is Sum of Equity and Debt
ROE is to access the efficiency of using and managing equities by the company.
ROE, is measurement of management performance. ROE tells the investor how well a company has used the capital from its shareholders to generate profits. Similar to the ROA ratio, a higher ROE denotes a higher level of management performance
ROCE is used to highlight how efficiently the employee capital is being used and managed by the company.
If there is a debt then ROCE to be considered , if there is 0 debt then ROE should be considered.
High ROE should not be due to high Dividend like 7-8%</t>
  </si>
  <si>
    <t>ROE Vs ROCE</t>
  </si>
  <si>
    <t>PCF Price to Cash flow</t>
  </si>
  <si>
    <t>PCF can provide a more straightforward comparison than PE. This is because cash flow doesn’t include noncash expenses like amortization and depreciation. Excluding these items eliminates any differences in the way companies depreciate their assets.
Note that the PCF ratio uses operating cash flow only, which means it overlooks a company’s cash flow performance from financing and investing activities.
Lower PCF ratios are preferable.</t>
  </si>
  <si>
    <t>Product based</t>
  </si>
  <si>
    <t>PEG Price Earning to Growth Ratio</t>
  </si>
  <si>
    <t>3 and 5 years PEG ratio should be less than 1, PE/ PG &lt; 1, If so, the share is slightly undervalued or fairly valued. 
Price/ EPS = P/E, it means that you are Paying P/E times money for a share that will  earn you EPS per year.
You can use different timeframes for the expected growth rate, but longer is better. If you have a good estimated growth rate for the next five years, use that.
The downside of the PEG ratio is that future growth rates are notoriously hard to predict. Companies’ growth profiles can change, sometimes drastically.</t>
  </si>
  <si>
    <t>Stable earning stocks, Pharma, consumer etc.</t>
  </si>
  <si>
    <t>NPA</t>
  </si>
  <si>
    <t>Non perfoming asset, If interest is not received for a quarter ( 3 months) loan becomes NPA. It shows how much then bank loan in danger. High NPA means the bank is at a poor level. 
Gross NPA are uncollected debt from people and organization. Net NPA are doubtful and unpaid debt from the sum of loan defaultedHow much money given out does not return, lower the better.</t>
  </si>
  <si>
    <t>Banking</t>
  </si>
  <si>
    <t xml:space="preserve">CASA </t>
  </si>
  <si>
    <t>Current Account + Savings Account vs Total Deposits, Higher CASA is better as it shows more fund at lesser interest
It is the proportion of the current account and savings account in the total deposit of the bank.
CASA Ratio = CASA Deposits / Total Deposits
A higher ratio means more money deposited in current and savings accounts. It is good for banks. 
A lower ratio means banks rely on total funding and its affect the margin</t>
  </si>
  <si>
    <t>https://www.youtube.com/watch?v=I13xlJnrC38</t>
  </si>
  <si>
    <t>This ratio shows how the company is profitable. ROA shows investors how the company using its assets. Higher ROA means it's better for a bank because its earnings is more than the investment. 
A higher ROA denotes a higher level of management effectiveness and performance. 
The ROA ratio may thus be more useful when compared to the risk free rate of return.
If a company’s ROA is equal or even less than the risk free rate, investors should think twice. ROA is most useful for intra-industry comparisons. The trend over a multiyear period can be more instructive than ROA for a single year or quarter.
Good ROA is above 4</t>
  </si>
  <si>
    <t>CAR Capital Adequacy Ratio</t>
  </si>
  <si>
    <t>How fast bank can grow is dependant on CAR, 17% is a good CAR and below 12 is bad.
CAR shows whether the bank has enough amount of money to bear the losses before the company becomes insolvent.
CAR = Tier 1 capital + Tier 2 capital / Risk-weighted assets
Tier 1 capital - Equity capital, ordinary share capital, intangible assets, audited revenue reserves
Tier 2 capital - Unaudited earnings, unaudited reserves
Risk-weighted assets - Minimum amount of capital must be held by banks</t>
  </si>
  <si>
    <t>Cost of Liabilities</t>
  </si>
  <si>
    <t>How much interest is paid, lower the better , 5 is high</t>
  </si>
  <si>
    <t>PCR Provisioning Coverage Ratio</t>
  </si>
  <si>
    <t xml:space="preserve">Against bad loans banks keeping some of their profits as a provision. A high PCR Ratio above 70 % means the bank is safe. </t>
  </si>
  <si>
    <t>Credit deposit Ratio</t>
  </si>
  <si>
    <t>It tells how much money banks raised from deposits have been given as loans. 
IF CD Ratio is more than 75% three fourth of the deposits are given as loans.
A lower CD ratio shows poor credit growth and a higher CD ratio shows strong demand for credit.</t>
  </si>
  <si>
    <t>NIM Net interest Margin</t>
  </si>
  <si>
    <t>Difference between interest earned by banks and interest paid by banks on deposits.
If NIM is positive, banks are operating profitably, so higher the better
Average Earnings balance = Average of beginning asset balance and ending asset balance.</t>
  </si>
  <si>
    <t>Inventory Turnover Ratio Measures the effectiveness of a company's manufacturing process and how fast they are selling inventory compared with industry. 
Low inventory turnover ratio indicates demand and sales are declining. A high inventory turnover ratio indicates, a company selling its goods quickly, between 5 and 10</t>
  </si>
  <si>
    <t>Return on Net Assets (RONA)</t>
  </si>
  <si>
    <t>Return on Net Assets shows how well the company is using its assets to generate revenue.
Higher RONA means the company using its assets and working capital efficiently.</t>
  </si>
  <si>
    <t>This ratio measures how well the company paying its interest for its outstanding debt.
Low-interest coverage indicates, the company won't be able to service its debt. The profit generated by the company is low and it can't able to meet interest expenses on its debt.
High-interest coverage indicates, the company generates enough profits to service its debt.
It shows number of times operating profit earned the much interest is to be paid. Greater than 2 is good.</t>
  </si>
  <si>
    <t>Debt to Equity Ratio DE Ratio</t>
  </si>
  <si>
    <t>Debt to Equity Ratio is very important for technology companies because most of the technology companies invested in other technology companies. Also, they invest more in new products and technology development.
Investors need to look at the debt of the company. If a debt to Equity ratio is too high means the company would become insolvent 
DE ratio will be more meaningful when compared over a period of time. The best comparisons are within industries and against a company’s historical ratios.  Lower the better or even reducing overtime is better. Ideal debt /equity ratio for an investor is 0 or close to 0, exception in Banks</t>
  </si>
  <si>
    <t>Tech Companies and Banks?</t>
  </si>
  <si>
    <t>Current ratio measures the company's ability to pay its debts in short term.
Business in tech industry needs to fund all of its operations from current assets and cash from investors. Current ratio needs to be high.
A Current ratio of less than 1 indicates the debts in a year are greater than its assets.
A Current ratio greater than 1 indicates the company has more financial resources.</t>
  </si>
  <si>
    <t>Tech Companies</t>
  </si>
  <si>
    <t>Cash Ratio</t>
  </si>
  <si>
    <t>Tech companies mostly use cash for their short-term obligations because they don't have other current assets like inventory.
A high cash ratio means the company keeping too much cash on hand or the company didn't save the cash well.
A low cash ratio means a company relying on sales to pay their monthly bills.</t>
  </si>
  <si>
    <t>Gross Profit Margin</t>
  </si>
  <si>
    <t>High gross profit margin signals company is profitable. It measures the gross profit margin earned from sales.
Tech companies have few physical materials and a smaller workforce, for example, software and video game companies.
Compared to other industries, Established tech companies have always a high profit margin.</t>
  </si>
  <si>
    <t>PAT Margin or Net Margin</t>
  </si>
  <si>
    <t>Margin is on selling price so 5/15 is 33% - expenses is PAT</t>
  </si>
  <si>
    <t>Asset Turnover</t>
  </si>
  <si>
    <t>Higher Asset turn over the better</t>
  </si>
  <si>
    <t>https://www.youtube.com/watch?v=924-bji0I6Y</t>
  </si>
  <si>
    <t>Cash Cycle</t>
  </si>
  <si>
    <t>Less cash cycle the better, if a company takes cash in advance from buyrs and pays later to his sellers it can be in negative which is the best</t>
  </si>
  <si>
    <t>Net profit vs Cash flow (CFO/PAT)</t>
  </si>
  <si>
    <t>Last 5 years total Operational cash flow and compare with past 5 years total Net profit</t>
  </si>
  <si>
    <t>https://www.youtube.com/watch?v=_lQsquuVKqM&amp;t=687s</t>
  </si>
  <si>
    <t>Dividend Yield</t>
  </si>
  <si>
    <t>Dividend yield is a calculation of the dividends paid over the last 12 months as a percentage of a company’s current share price.
An investor should also consider whether the dividends are fully franked, partially franked or unfranked.</t>
  </si>
  <si>
    <t>ToTal liabiliTies To ToTal Tangible asseTs (TLTAI)</t>
  </si>
  <si>
    <t>Lower the better</t>
  </si>
  <si>
    <t>OperaTing Cash flow To CurrenT liabiliTies (OCFCL)</t>
  </si>
  <si>
    <t>Higher the better</t>
  </si>
  <si>
    <t>Cash balanCe To ToTal liabiliTies (CBTL)</t>
  </si>
  <si>
    <t>Annual Report</t>
  </si>
  <si>
    <t>Product ranking, promoter shareholding, Milestone/history, Chairman's letter, mgt discussion and analysis, shareholding pattern, subsidary, contingent liabilities (Possibility of liability occurance),</t>
  </si>
  <si>
    <t>Shareholding pattern</t>
  </si>
  <si>
    <t>Increasing promoter holding or high promoter holding about 45+ is good sign</t>
  </si>
  <si>
    <t>Quick Ratio</t>
  </si>
  <si>
    <t>Shows companies short term obligations, short term loan handling ability should be above 1</t>
  </si>
  <si>
    <t>Split</t>
  </si>
  <si>
    <t>Company splits shared to improve flexibility of trading, in Split face value of share is reduced</t>
  </si>
  <si>
    <t>Bonus</t>
  </si>
  <si>
    <t>When bonus share is released , book value reduces. When face value of share is already at 1 Rs, they can't reduce it further so they reduce book value and increase number of shares</t>
  </si>
  <si>
    <t>Rights Issue</t>
  </si>
  <si>
    <t>Rights issue reduces EPS of Invester whether they apply for it or not</t>
  </si>
  <si>
    <t>https://www.youtube.com/watch?v=924-bji0I6Y
https://www.youtube.com/watch?v=_lQsquuVKqM&amp;t=687s</t>
  </si>
  <si>
    <t>MOAT</t>
  </si>
  <si>
    <r>
      <rPr>
        <b/>
        <sz val="11"/>
        <color theme="1"/>
        <rFont val="Calibri"/>
        <family val="2"/>
        <scheme val="minor"/>
      </rPr>
      <t>Monopoly due to any factor</t>
    </r>
    <r>
      <rPr>
        <sz val="11"/>
        <color theme="1"/>
        <rFont val="Calibri"/>
        <family val="2"/>
        <scheme val="minor"/>
      </rPr>
      <t xml:space="preserve">
Govt protection - IRCTC
Low cost - Xiaomi
Distribution reach - HUL
Brand - Apple
Patent - Apple
Network effect - 
Switching cost - Banks</t>
    </r>
  </si>
  <si>
    <t>ROE Analysis</t>
  </si>
  <si>
    <t>Du Point</t>
  </si>
  <si>
    <t>https://www.youtube.com/watch?v=l-T-Vyk2txc</t>
  </si>
  <si>
    <t>Interinsic Value</t>
  </si>
  <si>
    <t>Margine of Safety</t>
  </si>
  <si>
    <t>How much Cash will the business make for you inn future?</t>
  </si>
  <si>
    <t>What are the future cash flows worth to you right now?</t>
  </si>
  <si>
    <t>Owner's earnings</t>
  </si>
  <si>
    <t>=</t>
  </si>
  <si>
    <t>Operating Cash Flow- Maintenance Capital Expenditure (Payment for purchase of Propery Plant and Equipment)</t>
  </si>
  <si>
    <t>Operating Cash flow = Cash flow generated by Operating Activities</t>
  </si>
  <si>
    <t>MCE = Expenditure needed to keep the business running in current competetive state</t>
  </si>
  <si>
    <t xml:space="preserve">Total Capital Expenditure - </t>
  </si>
  <si>
    <t>Free Cash flow = Operating Cash flow - Total Capital Expenditure</t>
  </si>
  <si>
    <t>Looks for businesses you understands</t>
  </si>
  <si>
    <t>Asking questions about businesses while talking to other people, getting market sense</t>
  </si>
  <si>
    <t>Considering how businesses in your own hometown operate. Which ones would you buy? Which ones have longevity and strong competitive advantages</t>
  </si>
  <si>
    <t>Maintain "margin of safety," which means buying stocks at a price significantly lower than their intrinsic value</t>
  </si>
  <si>
    <t>Use long-term approach, aiming to hold investments for 10 to 20 years</t>
  </si>
  <si>
    <t>Businesses with high returns on capital, including those that operate with negative capital</t>
  </si>
  <si>
    <t>Price Action</t>
  </si>
  <si>
    <t>CandleStick</t>
  </si>
  <si>
    <t>Momentum</t>
  </si>
  <si>
    <t>RSI</t>
  </si>
  <si>
    <t>Volatility</t>
  </si>
  <si>
    <t>Time</t>
  </si>
  <si>
    <t>Price Patterns</t>
  </si>
  <si>
    <t>Trend</t>
  </si>
  <si>
    <t>MACD</t>
  </si>
  <si>
    <t>When the gap between -D and +D is widened it is said to be volatile market. Only take cross and HOLD post the first crossover after this volatility. Don't take breakout trade instead wait for the pull back to establish trend (up or down)</t>
  </si>
  <si>
    <t xml:space="preserve">After downside volatile market, if the crossover is below 25 never take breakout trade but go for Pullback trade towards dominent DMI </t>
  </si>
  <si>
    <t>When both the DMIs are close to each other and below 25  levels the market is sideways, Cross over signals (like -DMI moving above 25 a downside Breakout trade can be taken. And +DMI moving above 25 then Upward breakout trade can be taken)</t>
  </si>
  <si>
    <t>First leg of W formation below bollinger then resistance and Second leg forming above bollinger band so entry can be made with stop loss below bottom of the lower leg.</t>
  </si>
  <si>
    <t>Industry</t>
  </si>
  <si>
    <t>Financial Metrics:</t>
  </si>
  <si>
    <t>Qualitative Factors:</t>
  </si>
  <si>
    <t>Industry Specific</t>
  </si>
  <si>
    <r>
      <rPr>
        <b/>
        <sz val="11"/>
        <color theme="1"/>
        <rFont val="Calibri"/>
        <family val="2"/>
        <scheme val="minor"/>
      </rPr>
      <t>Mature and Stable Industries</t>
    </r>
    <r>
      <rPr>
        <sz val="11"/>
        <color theme="1"/>
        <rFont val="Calibri"/>
        <family val="2"/>
        <scheme val="minor"/>
      </rPr>
      <t xml:space="preserve">
Utilities, Consumer Staples, Healthcare Services, Food and Beverage, Household Products, Pharmaceuticals, Waste Management, Telecommunications, Real Estate Investment Trusts (REITs), Insurance.
</t>
    </r>
  </si>
  <si>
    <t xml:space="preserve">
1 Earnings per Share (EPS):
Look for consistent EPS growth over time, as it reflects a healthy and well-managed business.
2 Price-to-Earnings (P/E) Ratio:
Compares the company's stock price to its earnings per share.
A lower P/E ratio relative to industry peers may indicate an undervalued stock, but compare with historical P/E and industry averages.
3 Dividend Yield and Payout Ratio:
Mature companies often have stable dividend payouts, making these metrics important for income-focused investors.
4 Return on Equity (ROE):
Higher ROE indicates better efficiency and profitability.
5 Debt-to-Equity Ratio:
Mature companies typically have lower debt levels compared to growth-oriented companies.
6 Free Cash Flow (FCF):
Positive and growing free cash flow is essential for mature companies to fund dividends, buybacks, and future investments.
7 Net Profit Margin:
Higher margins indicate better profitability and efficiency.
</t>
  </si>
  <si>
    <t xml:space="preserve">
1 Assess the company's market share, brand strength, and competitive position within its industry.
2 Look for sustainable competitive advantages (e.g., patents, customer loyalty) that protect the company's market position.
3 Management Quality:
Look for transparent communication, effective capital allocation, and a focus on long-term value creation.
4 Industry Trends and Regulatory Environment:
Understand industry dynamics, market trends, and regulatory factors that may impact the company's growth prospects and operations.
Consider the company's ability to adapt to changing market conditions.
5 Historical Performance and Stability:
Consistency in earnings and dividends is often valued in mature industries.
6 Future Growth Prospects:
market share gains, product innovation, or geographic expansion.
Corporate Governance and Ethics:</t>
  </si>
  <si>
    <t>Siclical Metal</t>
  </si>
  <si>
    <t>Siclical Metal PE when higher , its good time to enter</t>
  </si>
  <si>
    <r>
      <rPr>
        <b/>
        <sz val="11"/>
        <color theme="1"/>
        <rFont val="Calibri"/>
        <family val="2"/>
        <scheme val="minor"/>
      </rPr>
      <t>High-Growth Industries</t>
    </r>
    <r>
      <rPr>
        <sz val="11"/>
        <color theme="1"/>
        <rFont val="Calibri"/>
        <family val="2"/>
        <scheme val="minor"/>
      </rPr>
      <t xml:space="preserve">
Technology and Software, E-Commerce and Online Retail, Renewable Energy, Healthcare Technology (HealthTech) and Biotechnology, Electric Vehicles (EVs) and Clean Transportation, Fintech (Financial Technology), Telecommunications and 5G Technology, Artificial Intelligence (AI) and Machine Learning, E-Sports and Gaming, Space Exploration and Aerospace</t>
    </r>
  </si>
  <si>
    <t>1 Revenue Growth Rate:
High-growth industries typically exhibit double-digit or significantly higher revenue growth compared to broader market averages.
2 Earnings Growth Rate:
Look for consistent and accelerating earnings growth in high-growth industries.
3 Price-to-Earnings (P/E) Ratio:
High-growth companies may have higher P/E ratios due to expectations of future earnings growth, but compare with growth prospects and industry norms.
4 Price-to-Sales (P/S) Ratio:
Evaluate the P/S ratio as an alternative valuation metric for high-growth companies, especially those with limited earnings or negative earnings in the growth phase.
Compare the P/S ratio with industry averages and growth prospects.
5 Return on Equity (ROE):
Look for consistently high ROE, indicating efficient capital allocation and profitability.
6 Free Cash Flow (FCF) and Cash Flow Growth:
Positive and growing free cash flow is essential for high-growth companies to fund expansion, investments, and innovation.
7 Debt Levels and Debt-to-Equity Ratio:
High-growth companies may have higher debt levels to fund expansion, but monitor debt sustainability and interest coverage ratios.</t>
  </si>
  <si>
    <t>Industry Trends and Market Potential:
Look for expanding market opportunities, disruptive technologies, and favorable industry tailwinds.
Competitive Positioning:
Evaluate the company's competitive advantage, market share, and differentiation strategies.
MOAT - Consider barriers to entry, intellectual property, brand strength, and customer loyalty.
Management and Leadership:
Evaluate the competence and track record of the company's management team.
Look for strategic vision, effective execution, and alignment with shareholders' interests.
Innovation and R&amp;D Investment:
Assess the company's focus on innovation, research and development (R&amp;D) investment, and product development pipeline.
Look for companies with a history of successful innovation and disruptive technologies.
Customer Base and Market Share Growth:
Analyze customer acquisition strategies, market share growth, and customer retention rates.
Consider customer feedback, satisfaction levels, and brand reputation.
Regulatory Environment and Compliance:
Consider regulatory risks and compliance requirements within the industry.
Evaluate the company's ability to navigate regulatory challenges and maintain regulatory compliance.
Global Expansion and Market Diversification:
Assess the company's international presence, global expansion strategies, and market diversification efforts.
Evaluate risks and opportunities associated with international operations.
Scalability and Operational Efficiency:
Evaluate the company's scalability, operational efficiency, and ability to manage growth effectively.
Consider cost management strategies, scalability of business models, and operational scalability.</t>
  </si>
  <si>
    <r>
      <rPr>
        <b/>
        <sz val="11"/>
        <color theme="1"/>
        <rFont val="Calibri"/>
        <family val="2"/>
        <scheme val="minor"/>
      </rPr>
      <t>Cyclical Industries</t>
    </r>
    <r>
      <rPr>
        <sz val="11"/>
        <color theme="1"/>
        <rFont val="Calibri"/>
        <family val="2"/>
        <scheme val="minor"/>
      </rPr>
      <t xml:space="preserve">
Automotive Industry, Construction and Real Estate, Commodities, Travel and Leisure, Retail Sector, Consumer Durables, Financial Services, Industrial Manufacturing, Technology Hardware, Energy Sector</t>
    </r>
  </si>
  <si>
    <t xml:space="preserve">Revenue Growth Rate:
Cyclical industries often experience fluctuations in revenue due to economic cycles. Look for companies with strong revenue growth during economic expansions and resilience during downturns.
Profit Margins:
Evaluate gross profit margins, operating margins, and net profit margins.
Cyclical industries may experience margin compression during economic downturns, so monitor margin trends over economic cycles.
Debt Levels and Debt-to-Equity Ratio:
High debt levels can increase financial risk in cyclical industries, especially during economic downturns when cash flows may be constrained.
Free Cash Flow (FCF):
Positive and growing free cash flow is essential for companies in cyclical industries to fund operations, debt obligations, and capital expenditures.
Earnings Volatility:
Cyclical industries may experience significant earnings fluctuations over time due to economic conditions, demand cycles, and pricing pressures.
Operating Efficiency:
Assess operating efficiency metrics such as asset turnover, inventory turnover, and receivables turnover.
Efficient operations are crucial in cyclical industries to manage costs, optimize resources, and improve profitability.
Valuation Metrics:
Consider valuation metrics such as price-to-earnings (P/E) ratio, price-to-sales (P/S) ratio, and price-to-book (P/B) ratio.
Compare valuation metrics with industry peers, historical averages, and growth prospects to assess investment attractiveness.
</t>
  </si>
  <si>
    <t>Industry Outlook:
Evaluate the overall economic outlook and industry-specific trends.
Monitor economic indicators, business sentiment, and leading indicators that can impact demand and performance in cyclical industries.
Competitive Positioning:
Assess the company's competitive advantages, market share, and differentiation strategies.
Consider factors such as brand strength, product innovation, customer relationships, and distribution channels.
Customer Base and Market Share:
Analyze the company's customer base, market share, and customer retention rates.
Cyclical industries may face increased competition during economic expansions, so monitor market share trends.
Supply Chain and Raw Material Costs:
Evaluate the company's supply chain resilience, raw material costs, and supply chain management practices.
Monitor input costs, commodity prices, and supply disruptions that can impact profitability.
Financial Health and Liquidity:
Assess the company's financial health, liquidity position, and ability to weather economic downturns.
Evaluate cash reserves, debt maturity profiles, and access to credit markets.
Management Quality:
Evaluate the competence and track record of the company's management team.
Look for prudent capital allocation, strategic planning, and risk management practices.
Regulatory Environment and Risk Factors:
Consider regulatory risks, compliance requirements, and legal challenges specific to the industry.
Monitor regulatory changes, environmental regulations, and industry-specific risks that can impact operations.
Global Economic Factors:
Monitor global economic trends, trade policies, and geopolitical risks that can impact cyclical industries with international exposure.
Consider currency fluctuations, global demand trends, and economic interdependencies.</t>
  </si>
  <si>
    <r>
      <rPr>
        <b/>
        <sz val="11"/>
        <color theme="1"/>
        <rFont val="Calibri"/>
        <family val="2"/>
        <scheme val="minor"/>
      </rPr>
      <t>Financial Services</t>
    </r>
    <r>
      <rPr>
        <sz val="11"/>
        <color theme="1"/>
        <rFont val="Calibri"/>
        <family val="2"/>
        <scheme val="minor"/>
      </rPr>
      <t xml:space="preserve">
Banking Institutions, Investment Banks, Insurance Companies, Asset Management Firms(Mutual Funds, Hedge Funds, Private Equity Firms), Brokerage and Investment Services(Stockbrockers, Investment Advisor, Online Brokerage Platforms), Credit Unions and Cooperative Banks, Payment Processing Companies,
Financial Technology (Fintech) Companies (digital banking, peer-to-peer lending, robo-advisory, crowdfunding, and blockchain-based services), Venture Capital and Private Equity, Credit Rating Agencies, Financial Consultancies and Advisory Services</t>
    </r>
  </si>
  <si>
    <t>Net Interest Margin (NIM):
Measures the difference between interest income earned from loans and investments and the interest expense paid on deposits and borrowings. A higher NIM indicates better profitability from core banking activities.
Return on Assets (ROA):
Indicates the company's ability to generate profits relative to its total assets. Higher ROA signifies efficient asset utilization and profitability.
Return on Equity (ROE):
Measures the company's profitability relative to shareholders' equity. A high ROE indicates effective use of equity capital to generate profits.
Efficiency Ratio:
Compares operating expenses to revenues, reflecting the company's efficiency in managing costs. A lower efficiency ratio indicates better cost management.
Loan-to-Deposit Ratio (LDR):
Compares the total loans issued by the bank to its total deposits. A moderate LDR suggests prudent lending practices and liquidity management.
Net Non-Interest Income Ratio:
Calculates non-interest income (e.g., fees, commissions, trading gains) as a percentage of total revenue. A higher ratio indicates diversified revenue streams beyond interest income.
Provision for Credit Losses (PCL):
Measures the amount set aside for potential loan losses. Monitor trends in PCL relative to loan portfolio quality and economic conditions.
Net Interest Income (NII) Growth:
Analyze the growth rate of net interest income, which is a key revenue driver for financial services companies.</t>
  </si>
  <si>
    <t>Regulatory Compliance:
Monitor regulatory compliance, adherence to capital adequacy requirements, and regulatory changes impacting the financial services industry.
Management Quality:
Assess the competence and experience of management, corporate governance practices, risk management strategies, and strategic vision.
Market Positioning and Competitive Advantage:
Analyze the company's market share, competitive strengths, brand reputation, customer relationships, and product/service offerings.
Economic and Market Trends:
Consider macroeconomic trends, interest rate environments, economic indicators, and market conditions affecting the financial services sector.
Technological Innovation:
Evaluate the company's use of technology, digital capabilities, cybersecurity measures, and investment in fintech solutions.
Industry Outlook:
Monitor industry trends, regulatory developments, competitive landscape, and disruptors impacting the financial services sector.</t>
  </si>
  <si>
    <t xml:space="preserve">Loan Quality Metrics:
Non-Performing Loans (NPL) Ratio: Measures the proportion of loans that are delinquent or in default.
Allowance for Loan and Lease Losses (ALLL) to Total Loans Ratio: Indicates the adequacy of reserves for potential credit losses.
Loan Loss Reserve Coverage Ratio: Compares the loan loss reserves to non-performing loans, assessing the company's ability to absorb losses.
Capital Adequacy Ratios:
Common Equity Tier 1 (CET1) Ratio: Measures the bank's core equity capital relative to risk-weighted assets, indicating financial strength and capital adequacy.
Total Capital Ratio: Evaluates the overall capital position, including Tier 1 capital, Tier 2 capital, and risk-weighted assets.
Asset Quality Ratios:
Asset Quality Index: Combines metrics like NPL ratio, ALLL coverage, and loan growth to assess asset quality trends.
Net Charge-Off Ratio: Measures the amount of loan losses relative to average loans outstanding, indicating credit risk management.
Liquidity Ratios:
Loan-to-Deposit Ratio: Evaluates the company's liquidity position and funding sources.
Cash Reserve Ratio: Compares cash reserves to total deposits, assessing liquidity buffers.
</t>
  </si>
  <si>
    <r>
      <rPr>
        <b/>
        <sz val="11"/>
        <color theme="1"/>
        <rFont val="Calibri"/>
        <family val="2"/>
        <scheme val="minor"/>
      </rPr>
      <t>Real Estate</t>
    </r>
    <r>
      <rPr>
        <sz val="11"/>
        <color theme="1"/>
        <rFont val="Calibri"/>
        <family val="2"/>
        <scheme val="minor"/>
      </rPr>
      <t xml:space="preserve">
Residential Real Estate, Commercial Real Estate, Real Estate Investment Trusts (REITs), Real Estate Development, Real Estate Brokerage and Services, Real Estate Financing and Investment, Land Development and Land Banking, Real Estate Technology (PropTech)</t>
    </r>
  </si>
  <si>
    <t xml:space="preserve">Net Operating Income (NOI):
NOI is a fundamental metric for assessing the core operational performance of real estate assets.
Funds from Operations (FFO) and Adjusted Funds from Operations (AFFO):
AFFO further adjusts FFO by accounting for capital expenditures and other non-recurring expenses to provide a clearer picture of cash flow available to investors.
Revenue Growth Rate:
Analyze the historical and projected revenue growth rates of real estate companies, considering factors such as rental income growth, property acquisitions, and market trends.
Net Asset Value (NAV) per Share:
NAV per share provides a measure of the intrinsic value of the company's real estate portfolio and assets.
Debt Metrics:
Debt-to-Equity Ratio: Compares the company's debt levels to its equity capital, indicating leverage and financial risk.
Interest Coverage Ratio: Measures the company's ability to cover interest expenses with operating income, assessing debt servicing capacity.
Return Metrics:
Return on Investment (ROI): Measures the return generated from real estate investments, accounting for property appreciation, rental income, and expenses.
Capitalization Rate (Cap Rate): Compares the annual net operating income to the property's market value, providing a measure of the property's yield or return on investment.
</t>
  </si>
  <si>
    <t>Real Estate Portfolio Quality:
Assess the quality, diversity, and geographic distribution of the company's real estate assets, including property types, locations, tenant mix, and industry sectors.
Market Trends and Demand Outlook:
Monitor real estate market trends, supply-demand dynamics, rental trends, vacancy rates, and macroeconomic factors impacting real estate demand.
Management Team and Strategy:
Evaluate the experience, expertise, and track record of the company's management team in real estate investment, asset management, and property operations.
Understand the company's growth strategy, acquisition criteria, risk management practices, and capital allocation decisions.
Regulatory Environment and Compliance:
Consider regulatory factors affecting the real estate industry, including zoning laws, building codes, environmental regulations, tax policies, and legal compliance.
Industry and Competitive Landscape:
Analyze the competitive positioning of the company within the real estate sector, including peer comparisons, market share, competitive advantages, and barriers to entry.
Economic and Interest Rate Sensitivity:
Evaluate the company's sensitivity to economic cycles, interest rate fluctuations, inflationary pressures, and macroeconomic risks affecting real estate investments.</t>
  </si>
  <si>
    <r>
      <rPr>
        <b/>
        <sz val="11"/>
        <color theme="1"/>
        <rFont val="Calibri"/>
        <family val="2"/>
        <scheme val="minor"/>
      </rPr>
      <t>Operational Metrics:</t>
    </r>
    <r>
      <rPr>
        <sz val="11"/>
        <color theme="1"/>
        <rFont val="Calibri"/>
        <family val="2"/>
        <scheme val="minor"/>
      </rPr>
      <t xml:space="preserve">
Occupancy Rates:
Measure the percentage of occupied rental units or leased space within the company's real estate portfolio.
High occupancy rates indicate strong demand and revenue stability.
Average Rental Rates and Lease Terms:
Analyze the average rental rates achieved across different properties and tenant types.
Evaluate lease terms, including lease duration, escalations, renewal rates, and tenant credit quality.
</t>
    </r>
    <r>
      <rPr>
        <b/>
        <sz val="11"/>
        <color theme="1"/>
        <rFont val="Calibri"/>
        <family val="2"/>
        <scheme val="minor"/>
      </rPr>
      <t>Valuation Metrics:</t>
    </r>
    <r>
      <rPr>
        <sz val="11"/>
        <color theme="1"/>
        <rFont val="Calibri"/>
        <family val="2"/>
        <scheme val="minor"/>
      </rPr>
      <t xml:space="preserve">
Price-to-FFO Ratio (P/FFO):
Compares the company's stock price to its funds from operations, providing a valuation measure specific to real estate investment trusts (REITs) and real estate operating companies (REOCs).
P/FFO is analogous to the price-to-earnings (P/E) ratio used in other industries.
Dividend Yield and Distribution Growth:
Evaluate the company's dividend yield, which is the annual dividend per share divided by the stock price.
Assess the company's history of dividend payments, distribution growth, and dividend sustainability.</t>
    </r>
  </si>
  <si>
    <t>What are different MOAT</t>
  </si>
  <si>
    <r>
      <rPr>
        <i/>
        <sz val="11"/>
        <color theme="1"/>
        <rFont val="Calibri"/>
        <family val="2"/>
        <scheme val="minor"/>
      </rPr>
      <t>Brand Moat:</t>
    </r>
    <r>
      <rPr>
        <sz val="11"/>
        <color theme="1"/>
        <rFont val="Calibri"/>
        <family val="2"/>
        <scheme val="minor"/>
      </rPr>
      <t xml:space="preserve">
Companies with strong brand recognition and customer loyalty have a brand moat. Customers are willing to pay a premium for trusted brands, which can lead to higher pricing power and market share retention. Coca Cola, Apple, Nike, Amazon etc.
</t>
    </r>
    <r>
      <rPr>
        <i/>
        <sz val="11"/>
        <color theme="1"/>
        <rFont val="Calibri"/>
        <family val="2"/>
        <scheme val="minor"/>
      </rPr>
      <t xml:space="preserve">Cost Moat:
</t>
    </r>
    <r>
      <rPr>
        <sz val="11"/>
        <color theme="1"/>
        <rFont val="Calibri"/>
        <family val="2"/>
        <scheme val="minor"/>
      </rPr>
      <t xml:space="preserve">Cost advantages can create a moat by allowing a company to produce goods or services at a lower cost than competitors. This can be achieved through economies of scale, efficient operations, access to cheaper inputs, or proprietary technology. Walmart,  Dmart, IKEA, Costco etc
</t>
    </r>
    <r>
      <rPr>
        <i/>
        <sz val="11"/>
        <color theme="1"/>
        <rFont val="Calibri"/>
        <family val="2"/>
        <scheme val="minor"/>
      </rPr>
      <t>Network Moat:</t>
    </r>
    <r>
      <rPr>
        <sz val="11"/>
        <color theme="1"/>
        <rFont val="Calibri"/>
        <family val="2"/>
        <scheme val="minor"/>
      </rPr>
      <t xml:space="preserve">
A network moat exists when a company's business model benefits from network effects. As more users or participants join the network, its value increases for all participants. Examples include social media platforms, payment networks, and marketplaces. Facebook, Google, Amazon, Linkedin etc
</t>
    </r>
    <r>
      <rPr>
        <i/>
        <sz val="11"/>
        <color theme="1"/>
        <rFont val="Calibri"/>
        <family val="2"/>
        <scheme val="minor"/>
      </rPr>
      <t xml:space="preserve">Switching Costs Moat:
</t>
    </r>
    <r>
      <rPr>
        <sz val="11"/>
        <color theme="1"/>
        <rFont val="Calibri"/>
        <family val="2"/>
        <scheme val="minor"/>
      </rPr>
      <t xml:space="preserve">Switching costs moat arises when it's costly or inconvenient for customers to switch from one provider to another. This can be due to contract terms, integration with existing systems, or customer investments in learning and training.
</t>
    </r>
    <r>
      <rPr>
        <i/>
        <sz val="11"/>
        <color theme="1"/>
        <rFont val="Calibri"/>
        <family val="2"/>
        <scheme val="minor"/>
      </rPr>
      <t>Intellectual Property Moat:</t>
    </r>
    <r>
      <rPr>
        <sz val="11"/>
        <color theme="1"/>
        <rFont val="Calibri"/>
        <family val="2"/>
        <scheme val="minor"/>
      </rPr>
      <t xml:space="preserve">
Companies with strong intellectual property rights, such as patents, trademarks, copyrights, and trade secrets, have an IP moat. This protects their innovations, products, and processes from imitation by competitors.
</t>
    </r>
    <r>
      <rPr>
        <i/>
        <sz val="11"/>
        <color theme="1"/>
        <rFont val="Calibri"/>
        <family val="2"/>
        <scheme val="minor"/>
      </rPr>
      <t>Regulatory Moat:</t>
    </r>
    <r>
      <rPr>
        <sz val="11"/>
        <color theme="1"/>
        <rFont val="Calibri"/>
        <family val="2"/>
        <scheme val="minor"/>
      </rPr>
      <t xml:space="preserve">
Regulatory moats result from government regulations or licensing requirements that create barriers to entry for new competitors. Industries like healthcare, finance, and utilities often have regulatory moats due to compliance costs and legal complexities.</t>
    </r>
  </si>
  <si>
    <r>
      <rPr>
        <i/>
        <sz val="11"/>
        <color theme="1"/>
        <rFont val="Calibri"/>
        <family val="2"/>
        <scheme val="minor"/>
      </rPr>
      <t>Scale Moat:</t>
    </r>
    <r>
      <rPr>
        <sz val="11"/>
        <color theme="1"/>
        <rFont val="Calibri"/>
        <family val="2"/>
        <scheme val="minor"/>
      </rPr>
      <t xml:space="preserve">
Scale advantages come from a company's size, market share, and distribution network. Larger companies may benefit from economies of scale, bargaining power with suppliers, and broader geographic reach.
</t>
    </r>
    <r>
      <rPr>
        <i/>
        <sz val="11"/>
        <color theme="1"/>
        <rFont val="Calibri"/>
        <family val="2"/>
        <scheme val="minor"/>
      </rPr>
      <t>Intangible Assets Moat:</t>
    </r>
    <r>
      <rPr>
        <sz val="11"/>
        <color theme="1"/>
        <rFont val="Calibri"/>
        <family val="2"/>
        <scheme val="minor"/>
      </rPr>
      <t xml:space="preserve">
Besides intellectual property, intangible assets such as a strong corporate culture, reputation, relationships with stakeholders, and organizational capabilities can create a moat that competitors find difficult to replicate.
</t>
    </r>
    <r>
      <rPr>
        <i/>
        <sz val="11"/>
        <color theme="1"/>
        <rFont val="Calibri"/>
        <family val="2"/>
        <scheme val="minor"/>
      </rPr>
      <t>Costumer Lock-in Moat:</t>
    </r>
    <r>
      <rPr>
        <sz val="11"/>
        <color theme="1"/>
        <rFont val="Calibri"/>
        <family val="2"/>
        <scheme val="minor"/>
      </rPr>
      <t xml:space="preserve">
Companies can create a moat by locking in customers through long-term contracts, subscriptions, loyalty programs, or bundling services. This reduces customer churn and increases revenue predictability.
</t>
    </r>
    <r>
      <rPr>
        <i/>
        <sz val="11"/>
        <color theme="1"/>
        <rFont val="Calibri"/>
        <family val="2"/>
        <scheme val="minor"/>
      </rPr>
      <t>Geographic Moat:</t>
    </r>
    <r>
      <rPr>
        <sz val="11"/>
        <color theme="1"/>
        <rFont val="Calibri"/>
        <family val="2"/>
        <scheme val="minor"/>
      </rPr>
      <t xml:space="preserve">
A geographic moat exists when a company dominates a particular geographic region or market segment, making it challenging for competitors to enter and compete effectively.
</t>
    </r>
    <r>
      <rPr>
        <i/>
        <sz val="11"/>
        <color theme="1"/>
        <rFont val="Calibri"/>
        <family val="2"/>
        <scheme val="minor"/>
      </rPr>
      <t>Low-Cost Producer Moat:</t>
    </r>
    <r>
      <rPr>
        <sz val="11"/>
        <color theme="1"/>
        <rFont val="Calibri"/>
        <family val="2"/>
        <scheme val="minor"/>
      </rPr>
      <t xml:space="preserve">
A company that can consistently produce goods or services at a lower cost than competitors has a low-cost producer moat. This can result from operational efficiencies, technological advantages, or access to cheaper resources.
</t>
    </r>
    <r>
      <rPr>
        <i/>
        <sz val="11"/>
        <color theme="1"/>
        <rFont val="Calibri"/>
        <family val="2"/>
        <scheme val="minor"/>
      </rPr>
      <t>Proprietary Technology Moat:</t>
    </r>
    <r>
      <rPr>
        <sz val="11"/>
        <color theme="1"/>
        <rFont val="Calibri"/>
        <family val="2"/>
        <scheme val="minor"/>
      </rPr>
      <t xml:space="preserve">
Companies with proprietary technology, innovative processes, or unique know-how can create a moat by offering products or services that are difficult to replicate or surpass.</t>
    </r>
  </si>
  <si>
    <t>How to start a Startup</t>
  </si>
  <si>
    <t>https://www.youtube.com/watch?v=CBYhVcO4WgI&amp;list=PL5q_lef6zVkaTY_cT1k7qFNF2TidHCe-1</t>
  </si>
  <si>
    <t>Y Combinator</t>
  </si>
  <si>
    <t>https://www.youtube.com/@ycvault</t>
  </si>
  <si>
    <t>Solar</t>
  </si>
  <si>
    <t>https://pmsuryaghar.gov.in/consumerRegistration</t>
  </si>
  <si>
    <t>https://www.perplexity.ai/</t>
  </si>
  <si>
    <t>How to Invest</t>
  </si>
  <si>
    <t>https://www.fool.com/investing/how-to-invest/stocks/technical-analysis/</t>
  </si>
  <si>
    <t>Learn Tech Analysis</t>
  </si>
  <si>
    <t>https://tlc.thinkorswim.com/center/reference/Tech-Indicators/studies-library/A-B/ADXBreakoutsFilter</t>
  </si>
  <si>
    <t>EXCEL and AI</t>
  </si>
  <si>
    <t>https://jatan.skillnation.in/ai-g/?gad_source=1&amp;gclid=Cj0KCQjw-r-vBhC-ARIsAGgUO2AKqdTy6vMVfrcuXGm_Fr_7vlVjIasqn2cUfCfvmwCZq4T4sNUwMl4aAuylEALw_wcB</t>
  </si>
  <si>
    <t>ADX Breakout Filter</t>
  </si>
  <si>
    <t>https://chartink.com/screener/adx-breakout-285</t>
  </si>
  <si>
    <t>Indian Economy</t>
  </si>
  <si>
    <t>https://www.ibef.org/indian-economy-news</t>
  </si>
  <si>
    <t>https://www.screener.in/company/UPL/consolidated/</t>
  </si>
  <si>
    <t>https://www.equitymaster.com/stockquotes/railway/list-of-railway-sector?utm_source=top-menu&amp;utm_medium=website&amp;utm_campaign=performance&amp;utm_content=key-sector</t>
  </si>
  <si>
    <t>https://ticker.finology.in/company/20MICRONS</t>
  </si>
  <si>
    <t>https://chartink.com/stocks/531456.html</t>
  </si>
  <si>
    <t>https://trendlyne.com/equity/1289/VEDL/vedanta-ltd/</t>
  </si>
  <si>
    <t>https://www.tickertape.in/stocks/seacoast-shipping-services-SEA</t>
  </si>
  <si>
    <t>https://www.moneycontrol.com/india/stockpricequote/</t>
  </si>
  <si>
    <t>https://www.livemint.com/market/market-stats/stocks-seacoast-shipping-services-share-price-nse-bse-s0000770</t>
  </si>
  <si>
    <t>FII and DII activitiy</t>
  </si>
  <si>
    <t>https://trendlyne.com/macro-data/fii-dii/latest/snapshot-pastmonth/</t>
  </si>
  <si>
    <t>Indices - Bonus/ Split/ Dividend</t>
  </si>
  <si>
    <t>https://www.equitymaster.com/research-it/indices/board-meeting?year=2024</t>
  </si>
  <si>
    <t>SEBI</t>
  </si>
  <si>
    <t>https://www.sebi.gov.in/sebiweb/home/HomeAction.do?doListing=yes&amp;sid=3&amp;ssid=14&amp;smid=9</t>
  </si>
  <si>
    <t>NSE</t>
  </si>
  <si>
    <t>https://www.nseindia.com/all-reports</t>
  </si>
  <si>
    <t>BSE</t>
  </si>
  <si>
    <t>https://www.bseindia.com/markets.html</t>
  </si>
  <si>
    <t>MCAP</t>
  </si>
  <si>
    <t>Intrensic</t>
  </si>
  <si>
    <t>Interest Coverage</t>
  </si>
  <si>
    <t>Inventory Turnover</t>
  </si>
  <si>
    <t xml:space="preserve">	Brightcom Group</t>
  </si>
  <si>
    <t>Wait for Breakout</t>
  </si>
  <si>
    <t>Empower India</t>
  </si>
  <si>
    <t>Buy 2000 if available</t>
  </si>
  <si>
    <t>Vision Cinemas</t>
  </si>
  <si>
    <t>VKJ Infradevelop</t>
  </si>
  <si>
    <t>Hit Kit Global</t>
  </si>
  <si>
    <t xml:space="preserve">Sagar Soya Prod	</t>
  </si>
  <si>
    <t>No Seller</t>
  </si>
  <si>
    <t>Vax Housing Fin.</t>
  </si>
  <si>
    <t>Minaxi Textiles</t>
  </si>
  <si>
    <t>Atharv Enter</t>
  </si>
  <si>
    <t>Nivaka Fashions</t>
  </si>
  <si>
    <t>Mukta Agricultur</t>
  </si>
  <si>
    <t xml:space="preserve">Shivansh Finserv	</t>
  </si>
  <si>
    <t>Akshar Spintex</t>
  </si>
  <si>
    <t xml:space="preserve">	Nila Spaces</t>
  </si>
  <si>
    <t>JLA Infraville</t>
  </si>
  <si>
    <t>Milestone Furn.</t>
  </si>
  <si>
    <t>Mystic Electron.</t>
  </si>
  <si>
    <t>Tilak Ventures</t>
  </si>
  <si>
    <t xml:space="preserve">Possible Breakout soon </t>
  </si>
  <si>
    <t>Stellar Capital</t>
  </si>
  <si>
    <t>B.C. Power</t>
  </si>
  <si>
    <t>Scintilla Comm</t>
  </si>
  <si>
    <t>Kanungo Financi.</t>
  </si>
  <si>
    <t>Cont. Securities</t>
  </si>
  <si>
    <t>Luharuka Media</t>
  </si>
  <si>
    <t>Garment Mantra</t>
  </si>
  <si>
    <t>Bodhtree Consul.</t>
  </si>
  <si>
    <t>Colorchips New</t>
  </si>
  <si>
    <t xml:space="preserve">Sadhna Broadcast	</t>
  </si>
  <si>
    <t>Ekam Leasing</t>
  </si>
  <si>
    <t>Integra Essentia</t>
  </si>
  <si>
    <t>Sulabh Engineers</t>
  </si>
  <si>
    <t>Sirohia &amp; Sons</t>
  </si>
  <si>
    <t>Taaza Intern.</t>
  </si>
  <si>
    <t>V B Industries</t>
  </si>
  <si>
    <t>Swasti Vinayaka</t>
  </si>
  <si>
    <t>Mathew Easow Res</t>
  </si>
  <si>
    <t>CHD Chemicals</t>
  </si>
  <si>
    <t>Kallam Textiles</t>
  </si>
  <si>
    <t>Utique Enterp.</t>
  </si>
  <si>
    <t>Landmark Prop.</t>
  </si>
  <si>
    <t>Konndor Indust.</t>
  </si>
  <si>
    <t>Suumaya Corp.</t>
  </si>
  <si>
    <t>NCC Blue Water</t>
  </si>
  <si>
    <t>Nila Infrastruct</t>
  </si>
  <si>
    <t>Tranway Technol.</t>
  </si>
  <si>
    <t>G K Consultants</t>
  </si>
  <si>
    <t>Gujarat Hy-Spin</t>
  </si>
  <si>
    <t xml:space="preserve">Mega Corp.	</t>
  </si>
  <si>
    <t>Amin Tannery</t>
  </si>
  <si>
    <t>G-Tech Info.</t>
  </si>
  <si>
    <t>T. Spiritual</t>
  </si>
  <si>
    <t>Sikozy Realtors</t>
  </si>
  <si>
    <t>Sawaca Business</t>
  </si>
  <si>
    <t>Tatia Global</t>
  </si>
  <si>
    <t xml:space="preserve">Darshan Orna	</t>
  </si>
  <si>
    <t>Cubical Finan</t>
  </si>
  <si>
    <t>BKM Industries</t>
  </si>
  <si>
    <t>Khoobsurat Ltd</t>
  </si>
  <si>
    <t>Dhenu Buildcon</t>
  </si>
  <si>
    <t xml:space="preserve">Kashyap TeleMed.	</t>
  </si>
  <si>
    <t xml:space="preserve">Goyal Associates	</t>
  </si>
  <si>
    <t>Ramasigns Indus.</t>
  </si>
  <si>
    <t xml:space="preserve">Shree Ganesh Bio	</t>
  </si>
  <si>
    <t>Alstone Textiles</t>
  </si>
  <si>
    <t>BCL Enterprises</t>
  </si>
  <si>
    <t>Linaks Microelec</t>
  </si>
  <si>
    <t>Avance Tech.</t>
  </si>
  <si>
    <t>Kretto Syscon</t>
  </si>
  <si>
    <t xml:space="preserve">	Vikas Proppant</t>
  </si>
  <si>
    <t>Future Enterprises Ltd</t>
  </si>
  <si>
    <t>Bronze Infra</t>
  </si>
  <si>
    <t>Wagend Infra</t>
  </si>
  <si>
    <t>Gemstone Invest.</t>
  </si>
  <si>
    <t>Anupam Finserv</t>
  </si>
  <si>
    <t>Vision Corpn.</t>
  </si>
  <si>
    <t>BGIL Films &amp; Tec</t>
  </si>
  <si>
    <t>Vikas Ecotech</t>
  </si>
  <si>
    <t xml:space="preserve">Sambhaav Media	</t>
  </si>
  <si>
    <t>FCS Software</t>
  </si>
  <si>
    <t xml:space="preserve">	Lesha Industries</t>
  </si>
  <si>
    <t>Smiths &amp; Founder</t>
  </si>
  <si>
    <t>LTCG and Dividends both are Tax free. 10% TDS is payable on the dividend income amount over INR 10Lacs if the individual income is over 2.5L. Dividend is paid on face Value</t>
  </si>
  <si>
    <t>Fundamental Analysis</t>
  </si>
  <si>
    <t>If after giving bonus share, prices drop that is the best time to buy more</t>
  </si>
  <si>
    <t>Face Value - Original value of the share</t>
  </si>
  <si>
    <t>How to get latest updates on the stocks in your portfolio</t>
  </si>
  <si>
    <t xml:space="preserve">Added watch list to screener, Latest Quarterly Results and New Annual Reports, </t>
  </si>
  <si>
    <t>Intraday trader closes a trade with in a day</t>
  </si>
  <si>
    <t>DMAT - Dematirialize</t>
  </si>
  <si>
    <t>How to get key information about the company</t>
  </si>
  <si>
    <t>Company and About Details on Screener</t>
  </si>
  <si>
    <t>Short term Investor closes a trade from 2 days to 3 months</t>
  </si>
  <si>
    <t>Topline Growth = Turnover</t>
  </si>
  <si>
    <t>How to find undervalued stocks</t>
  </si>
  <si>
    <t>50 DMA is short term, 200DMA is long term average, Higher the D - delivery % stronger the confidence of shareholders. EPS growth, If EPS is continuously growing and PE is declining means that Price of share is comparatively cheaper currently. Compare Current price against the Median PE for better understanding
Sales and Margins ??</t>
  </si>
  <si>
    <t>Medium term Investor closes a trade from 3 months to a year</t>
  </si>
  <si>
    <t>Bottomline Growth = profits after Tax</t>
  </si>
  <si>
    <t>How to start analysing a company for beginners</t>
  </si>
  <si>
    <t>Screener:
Dashboard/ Filings/ Announcements +Add Filter
Search Query in Screens - ex
QoQ Sales &gt; 40 AND
QoQ Profits &gt; 30
Average Return on equity 5years&gt;15 years AND
Average return on capital employed 5years &gt; 15 years AND
Market Capitalization &gt; 20000
Return over 5years &gt; 20
Sales Growth 5years &gt; 20</t>
  </si>
  <si>
    <t xml:space="preserve">Filter stock from industry:
Market Leader - CMP (Current Market price)
Market Cap
Free Cash Flow- High
ROE = Min 15-20%
ROCE - High
Net Income - High
Stable Growth in Profit
Least debt
</t>
  </si>
  <si>
    <t>Know your Company:
Fundamental Analysis
Annual Report
Mgt Discussions and legal issues
Audit Report
Important Ratio
Industry Analysis
Competitive Advantage
8 Pointer Theory</t>
  </si>
  <si>
    <t>Know Financials:
Valuation:
Undervalued/ Overvalued
Price to Sales
PE
EV/Ebitda
Fundamentals have changed? News? 
If fundamentals  change and Stocks do not react immidiately then could be an oppurtunity</t>
  </si>
  <si>
    <t>Technical Analysis
MACD
RSI
Bollinger Bands</t>
  </si>
  <si>
    <t>Long term investor closes a trade after a year or more</t>
  </si>
  <si>
    <t>LTP - Latest Traded Price</t>
  </si>
  <si>
    <t>How to spot turnaround stock stories</t>
  </si>
  <si>
    <t>Know yourself, Who Are You?</t>
  </si>
  <si>
    <t>PMO -Pre Market Opening , 9:00 to 9:15</t>
  </si>
  <si>
    <t>Fundamental Analysis (Quantitative and Qualitative)</t>
  </si>
  <si>
    <t>Market Hours - 9:15 to 15:30</t>
  </si>
  <si>
    <t>Qualitative Analysis (Management efficiency, Honesty, Strategies, Objectives, Goals etc)</t>
  </si>
  <si>
    <t>Broker Market - 15:30- 16:00</t>
  </si>
  <si>
    <t>Quantitative Analysis (Balance Sheet, P&amp;L, Cashflow etc)</t>
  </si>
  <si>
    <t>AMO - After Market Orders , after 16:00 till 9:00</t>
  </si>
  <si>
    <t>Economy Analysis - High or Low GDP (Growing is best), Inflation / Deflation both highs are bad (Steady Inflation is sign of Growth, Forex (Foreign Exchange) Reserve Position, Surplus Balance of Payments (Exports- Imports) Deficit BOP (Imports - Exports), Above Average Monsoon positively impacts the stock Market.</t>
  </si>
  <si>
    <t>Gap Up Opening (If AMO built up demand)</t>
  </si>
  <si>
    <t>Industry Analysis - Analysing Election Manifesto for picking Industry, Understanding the whole of target Industry,its aspects, related arms and associated companies.
i.e. Electricity - (Generation, Distribution, Transmission etc)</t>
  </si>
  <si>
    <t>Gap Down Opening (If AMO reduces demand)</t>
  </si>
  <si>
    <t>Company Analysis - Balance Sheet, P&amp;L, Cashflow, Notes to Accounts and Statement of Changes in Equity if applicable</t>
  </si>
  <si>
    <t>Unch - Unchanged</t>
  </si>
  <si>
    <t>Consolidated = Standalone+Associate+Subsidary+Joint Venture</t>
  </si>
  <si>
    <t>Bid price - Best Buying price</t>
  </si>
  <si>
    <t>Red Candle - Top is High Open Price and Bottom is Low Close price - Bearish
Green Candle - Top is High Close Price and Bottom is Low Open price - Bullish</t>
  </si>
  <si>
    <t>Offer price - Best Selling Price</t>
  </si>
  <si>
    <t>Hanging Man - Pre-requisite is Uptrend, at the end of uptrend a Candle appears on top end, with Wick has to be  2X or more of the Candle size, . If on the next day (Monday) market opens at decent Gap down it could be a Reversal pattern. Hanging Man can be with Red or Green candle, it doesn't matter. 
If it Opens with a Gap up the next day (Monday), hanging man  theory is corrupt, Reversal pattern may still happen but with other indicators.</t>
  </si>
  <si>
    <t>Record Date- Date on which you should have Shares to receive Bonus or Split</t>
  </si>
  <si>
    <t>Morning Star - At the end of Downtrend, If there is sequence of sandwitch with a Bear candle (Red) a Doji Candle (very thin similar to Hanging Man) in between and a Bull Candle (Green). This is a sign of an uptrend (Bullish reversal Pattern). Bearish trend will stop and Upward trend may start.</t>
  </si>
  <si>
    <t>Ex-Bonus - Date on which shares start trading at a revised Price/ Adjusted price</t>
  </si>
  <si>
    <t>NSDL and CDSL - Depositories Convert physical shares to Dematiarilised Shares</t>
  </si>
  <si>
    <t>Contract Note- is like a receipt issued by the broker upon purchase of shares</t>
  </si>
  <si>
    <t>https://chartink.com/</t>
  </si>
  <si>
    <t>To filter stocks based on conditions applied</t>
  </si>
  <si>
    <t>Tip</t>
  </si>
  <si>
    <t>Not more than 8% investment in a single company and not more than 25% in a sector. Min 15 companies and 4 sectors.</t>
  </si>
  <si>
    <t>https://in.tradingview.com/</t>
  </si>
  <si>
    <t>Bring above filters for viewing technicals</t>
  </si>
  <si>
    <t>Earning Per share</t>
  </si>
  <si>
    <t>Total profit/ Total share</t>
  </si>
  <si>
    <t>Non-Cyclical</t>
  </si>
  <si>
    <t>This is the opposite of a cyclical stock. Profits of a non-cyclical stock do not change readily with the business cycle. These are companies that provide us with essentials, such as health care and food.</t>
  </si>
  <si>
    <t xml:space="preserve">How many times are you paying for its one year earning. PE increases if company starts showing more growth. Today's PE should be compared with Historical PE, Historical PE should be compared against profit growth history. If a stock shows low PE with historical high profit growth should be eyed. </t>
  </si>
  <si>
    <t>https://www.youtube.com/watch?v=s1jNzG2i05I
https://www.youtube.com/watch?v=RieqxXMds64</t>
  </si>
  <si>
    <t xml:space="preserve">Cyclical </t>
  </si>
  <si>
    <t>These companies, whose business activities intensely follow the economy's business cycles, are always the first stocks to reflect a recession or an expansion. 
Luxury is one of the factors in the relationship between these stocks and the business cycle.
Low P/E for a company heavily engaged into sectors prone of cyclical movements such as real estate and mining is not true. For Banks if PE is 0 it means its running in loss.</t>
  </si>
  <si>
    <t>Share price/ Book Value per share, BV= (Assets - Libilities),  BV per share = BV/ Share, sectors prone of cyclical movements. Ex, Power, Infra, Cement, Banks etc</t>
  </si>
  <si>
    <t>https://www.youtube.com/watch?v=hPDt91OsxKE</t>
  </si>
  <si>
    <t>Enterprise Value</t>
  </si>
  <si>
    <t>Market Cap - Cash + Debt</t>
  </si>
  <si>
    <t>Consolidated and Standalone</t>
  </si>
  <si>
    <t>Stand alone is all your and consolidated is your + your investments in other companies</t>
  </si>
  <si>
    <t>is a share of entire profit made in a year. Companies with high running exp and growth investsments yield less dividend and vice versa. During panic time PSUs with high cash,  strong fundamentals 0 Enteprise value can be invested in.</t>
  </si>
  <si>
    <t>Promoter Holding</t>
  </si>
  <si>
    <t>Higher promoter holding shows owners interest in the company which is positive sign with exception as ITC owned by many companies and Banks who have RBI restrictions. High promoter holding but low pledge % is key, also promoter holding trend increasing or decreasing is vital</t>
  </si>
  <si>
    <t>Markup</t>
  </si>
  <si>
    <t>purchase 10, sale 15, so markup is 50% on purchase</t>
  </si>
  <si>
    <t>Equity and Debt</t>
  </si>
  <si>
    <t>investment of self or borrowed against share is Equity, Loan against interest is Debt</t>
  </si>
  <si>
    <t>Money generated against entire money invested , High ROE is a key, above 20 is good</t>
  </si>
  <si>
    <t>Debt Equity Ratio</t>
  </si>
  <si>
    <t>Ideal debt /equity ratio for an investor is 0 or close to 0, exception in Banks</t>
  </si>
  <si>
    <t>Last 5 years total Operational cash flow and  compare with past 5 years total Net profit</t>
  </si>
  <si>
    <t>Banking Stocks</t>
  </si>
  <si>
    <t>Current Account + Savings Account vs Total Deposits, Higher CASA is better as it shows more fund at lesser interest</t>
  </si>
  <si>
    <t>Non perfoming asset, How much money given out does not return, lower the better.</t>
  </si>
  <si>
    <t>Advances Growth</t>
  </si>
  <si>
    <t>How fast bank can grow is dependant on CAR, 17% is a good CAR</t>
  </si>
  <si>
    <t>Net interest Margin , higher the better</t>
  </si>
  <si>
    <t>Min 1 is good ROA</t>
  </si>
  <si>
    <t>Bank loan frenchise and liability frenchise should be well diversified</t>
  </si>
  <si>
    <t>ROE: Net Income / Shareholders Equity. ROCE: EBIT/ Total Capital Deployed (Total Capital +Debt)
CE: Capital Employed is Sum of Equity and Debt
ROE is to access the efficiency of using and managing equities by the company
ROCE is used to highlight how efficiently the employee capital is being used and managed by the company.
If there is a debt then ROCE to be considered , if there is 0 debt then ROE should be considered.
High ROE should not be due to high Dividend like 7-8%</t>
  </si>
  <si>
    <t>https://www.youtube.com/watch?v=2eZg2zHzOu0&amp;list=PLFQ0hRWyH11RS4KUPadj6aoC2KtEHVIfN&amp;index=12</t>
  </si>
  <si>
    <t>Interest Coverage %</t>
  </si>
  <si>
    <t>It shows number of times operating profit earned the much interest is to be paid</t>
  </si>
  <si>
    <t>PEG/ Price Earning to Growth Ratio</t>
  </si>
  <si>
    <t>3 and 5 years PEG ratio should be less than 1, PE/ PG &lt; 1, If so, the share is slightly undervalued or fairly valued. Only applied as one of the parameters for stable earning stocks, Pharma, consumer etc. 
Price/ EPS = P/E, it means that you are Paying P/E times money for a share that will  earn you EPS per year.</t>
  </si>
  <si>
    <t>Price to Cash flow for product based</t>
  </si>
  <si>
    <t>Govt protection - IRCTC
Low cost - Xiaomi
Distribution reach - HUL
Brand - Apple
Patent - Apple
Network effect - 
Switching cost - Banks</t>
  </si>
  <si>
    <t>https://www.youtube.com/watch?v=YdI64w6qYkg&amp;list=PLFQ0hRWyH11RS4KUPadj6aoC2KtEHVIfN&amp;index=22</t>
  </si>
  <si>
    <t>How to Pick a Stock</t>
  </si>
  <si>
    <t>How much a company earns sale of 100, how much profit, tax, expenses they make. But most important the money they make how they are utilizing it (Commonsize statement). Provisions should be less
Commonsize Balancesheet, 
Valuation
Moats
Competetior Analysis
Fair price</t>
  </si>
  <si>
    <t>Factors to consider</t>
  </si>
  <si>
    <t>Stable Government</t>
  </si>
  <si>
    <t>Price-to-Sales (P/S) ratio</t>
  </si>
  <si>
    <t>RSI and MACD</t>
  </si>
  <si>
    <t>Reversal indicators RSI and MACD, for best entry and exit use combination of these indicators. If RSI is in Oversold zone and MACD is getting crossover, you can expect an oppurtunity to enter from bottom. (StockPro)</t>
  </si>
  <si>
    <t>Entry Time</t>
  </si>
  <si>
    <t xml:space="preserve">Take entry only once the green candle has started, only enter when the market </t>
  </si>
  <si>
    <t>EMA VS SMA</t>
  </si>
  <si>
    <t>Exponential Moving Average :  (Closing price * multiplier) + (previous day EMA 
Simple Moving Average: 10 SMA will mean past 10 candle's Average value. Avegrage closing price over a selected time period (Less responsive to short term fluctuations and is used for long term investments)</t>
  </si>
  <si>
    <t>Debt Levels</t>
  </si>
  <si>
    <t>Blue Chip</t>
  </si>
  <si>
    <t>These companies are cream-of-the-crop, old-school and everlasting. Blue chips tend to be market mammoths and have proven their ability to survive through both good times and bad.</t>
  </si>
  <si>
    <t>Penny Stock</t>
  </si>
  <si>
    <t>The term "penny stock" denotes stocks that trade for less than a dollar, but it can also refer to stocks considered very speculative. These stocks are generally new to the market, with no reputation or history to fall back on. Penny stocks present the possibility of large gains or losses.</t>
  </si>
  <si>
    <t>Growth</t>
  </si>
  <si>
    <t xml:space="preserve">Growth stocks are known for their lack of dividends and rapidly increasing market prices. Defined by their tendency to grow faster than the market, these companies generally reinvest all earnings into infrastructure to maintain rapid growth, rather than directly paying out their earnings to investors. </t>
  </si>
  <si>
    <t>Income</t>
  </si>
  <si>
    <t>These stocks aren't (usually) growth hungry, or they've already reached their maximum growth potential. Income stocks' prices do not tend to fluctuate a great deal. However, they do pay higher-than-average dividends. An income stock's value depends on its reliability and track record in paying dividends.</t>
  </si>
  <si>
    <t>Tracking Stock</t>
  </si>
  <si>
    <t>Also known as "designer stock," tracking stock is a type of common stock, issued by a parent company, that tracks the performance of a particular division with no claim on the assets of the division or the parent company. Tracking stock also refers to a type of security specifically created to mirror the performance of a larger index.</t>
  </si>
  <si>
    <t>Seasonal</t>
  </si>
  <si>
    <t>These companies are characterized by the different demand levels they face throughout the year.</t>
  </si>
  <si>
    <t>Non-Seasonal</t>
  </si>
  <si>
    <t xml:space="preserve">These stocks are not affected by the change of seasons. </t>
  </si>
  <si>
    <t>Sr. No.</t>
  </si>
  <si>
    <t>Terminology</t>
  </si>
  <si>
    <t>Definitions</t>
  </si>
  <si>
    <t>Comments</t>
  </si>
  <si>
    <t>Day Trader</t>
  </si>
  <si>
    <t>He trades intraday. He buy and sells,shorts and covers within that day. He closes all positions by the end of the day. He takes no risks overnight. He basically uses the 5 and 10 min charts for his trading with the 15min and the 60 min charts as backdrop</t>
  </si>
  <si>
    <t>Swing Trader</t>
  </si>
  <si>
    <t>A trader who trades the daily charts,fine tuning his entry using the 60min charts. His trades last 2-5 days.</t>
  </si>
  <si>
    <t>Position Trader</t>
  </si>
  <si>
    <t>Nearly equivalent to investing,but nearly can be an important distinction. He trades the weekly charts which means he holds trades from weeks to months.</t>
  </si>
  <si>
    <t>Okay,now that we know what an Uptrend is,and that come what may,we will stick to our rules,which is:First detect the change in trend which requires a higher pivot high and low,then once we are in an uptrend,we BUY DECLINES.
Now comes our next point of worry........yes we got our uptrend,and now the declines.But when do we buy?Do we buy on the first day?Is there anything else we are looking for before we come to that decision?
Have a look at the chart of EDUCOMP below.We have a decline after that big bar.Bearish candle No 1,we do nothing.We wait.Bearish candle No 2,we do nothing.Bearish candle no 3,things looking more and more juicy.Then we get that bullish candle.That first bullish candle is still making lower highs and lows,but is giving us an indication that bulls are gaining in strength.Now we are ready to strike,and yet,we do not move.We now look to buy,we do not buy as yet.We buy when the next candle takes out the previous candle's highs.</t>
  </si>
  <si>
    <t>Uptrend</t>
  </si>
  <si>
    <t>An uptrend on a chart of any time frame is nothing but a series of higher highs and higher lows</t>
  </si>
  <si>
    <t>Downtrend</t>
  </si>
  <si>
    <t>A downtrend on a chart of any time frame is nothing but a series of lower highs and lower lows.</t>
  </si>
  <si>
    <t>Sideways Trend</t>
  </si>
  <si>
    <t>A sideways trend is nothing but relatively equal highs and lows.</t>
  </si>
  <si>
    <t>Uptrendline</t>
  </si>
  <si>
    <t>a line that connects two or more LOWS,in a chart in an uptrend.The more points that meet up to this line,the stronger this line is.This trendline acts as support,as prices blast off,then pullback to this line before taking off again.Therefore,in an UPTRENDLINE,the 2nd point is always higher than the 1st point,and the 3rd higher than the 2nd.</t>
  </si>
  <si>
    <t>Downtrendline</t>
  </si>
  <si>
    <t>a line that connects two or more highs in a downtrend.Once again,the more number of points that connect,the stronger the line is.This downtrendline acts as resistance.Each down move is followed by a pullback rally to this trendline which acts as resistance only to be met with more selling and lower prices.In DOWNTRENDLINE,the 2nd point is always lower than the 1st,and the 3rd lower than the 2nd.</t>
  </si>
  <si>
    <t>A break in the UPTRENDLINE signals a possible change in trend.So too with the break in the DOWNTRENDLINE.</t>
  </si>
  <si>
    <t>Major Trend</t>
  </si>
  <si>
    <t>Major trends last for greater than 6 months. From a charts perspective,the major trend is seen by looking at the monthly charts.</t>
  </si>
  <si>
    <t>Intermediate Trend</t>
  </si>
  <si>
    <t>Intermediate trends last between 3 weeks to 6 months. The intermediate trend from the weekly charts.</t>
  </si>
  <si>
    <t>Near Term Trend</t>
  </si>
  <si>
    <t>Near term trends last from a few days to 3weeks. The near term trend from the daily charts.</t>
  </si>
  <si>
    <t>What is seen as a downtrend on the daily charts may be nothing but a pullback on the weekly charts,and is not even evident on the monthly charts. What is seen as a downtrend on the weekly charts and a catatrophic crash on the daily may be nothing but a monthly pullback.</t>
  </si>
  <si>
    <t>Trend :Pivots</t>
  </si>
  <si>
    <t>Whisk out your right hand again,once again with your right palm facing you. We have our little finger. The ring finger makes a higher high and low as compared to the little finger. The middle finger is higher high and low as compared to the ring finger. We therefore have a RALLY. The index finger makes lower highs and lows as compared to the middle finger. The thumb makes lower highs and lows as compared to the index finger. We therefore have a DECLINE. The middle finger with two lower highs on both sides(ring and index)now forms a PIVOT.</t>
  </si>
  <si>
    <r>
      <t xml:space="preserve">A higher high is when the previous bar's high is crossed,and a higher low is when the low is higher than the previous bar's low,and that a series of higher highs and lows make an uptrend. Just higher highs and lows alone do not make an uptrend. 
Higher highs and lows form a </t>
    </r>
    <r>
      <rPr>
        <b/>
        <sz val="11"/>
        <color theme="1"/>
        <rFont val="Calibri"/>
        <family val="2"/>
        <scheme val="minor"/>
      </rPr>
      <t>Rally.</t>
    </r>
    <r>
      <rPr>
        <sz val="11"/>
        <color theme="1"/>
        <rFont val="Calibri"/>
        <family val="2"/>
        <scheme val="minor"/>
      </rPr>
      <t xml:space="preserve"> 
Lower highs and lows form a </t>
    </r>
    <r>
      <rPr>
        <b/>
        <sz val="11"/>
        <color theme="1"/>
        <rFont val="Calibri"/>
        <family val="2"/>
        <scheme val="minor"/>
      </rPr>
      <t>Decline.</t>
    </r>
  </si>
  <si>
    <t>Pivot Lows</t>
  </si>
  <si>
    <t>In the above example,as each pivot is after a decline,and the pivot is the low after which the stock takes off again,we call them PIVOT LOWS</t>
  </si>
  <si>
    <t>A stock that is moving up from a down trend we do not take position. We wait for it to rise, retreat and then we buy if it takes a turn around higher than the previous pivot low.</t>
  </si>
  <si>
    <t>Pivot High</t>
  </si>
  <si>
    <t>Right the opposite in a downtrend.The stock declines from an area and then rallies to an area lower than the first,so on so forth.In this case every pivot is after a rally,and the pivot is that area after which the stock declines further to new lows.
As this pivot tells us of that high after which things go back to its declining ways,we call that a PIVOT HIGH.</t>
  </si>
  <si>
    <t>So,in an uptrend,we have HIGHER PIVOT LOWS
In a downtrend,we have LOWER PIVOT HIGHS</t>
  </si>
  <si>
    <t>Support</t>
  </si>
  <si>
    <t xml:space="preserve">Is that area where buying interest exceeds selling interest,and therefore a previous decline gets halted at this area and turns back up again.It is marked by drawing a horizontal line connecting two or more bottoms.
The Uptrendline acts as Support each time prices decline and come towards it.
</t>
  </si>
  <si>
    <t>Support and Resistance are not absolute points.They are areas.
When Support breaks to the downside,we call that a Down Side Breakout or Breakdown.When Resistance breaks to the upside,we call that a Breakout.</t>
  </si>
  <si>
    <t xml:space="preserve">Resistance </t>
  </si>
  <si>
    <t xml:space="preserve">Is that area where selling pressure exceeds buying interest.It is an area where previous rallies get halted and turn down again.It is marked by drawing a horizontal line connecting two or more tops.
The downtrendlines act as resistance as prices rally to the trendlines and fall from it
</t>
  </si>
  <si>
    <r>
      <t xml:space="preserve">When we get a breakdown below support,that area of support now becomes an area of resistance.
</t>
    </r>
    <r>
      <rPr>
        <b/>
        <sz val="11"/>
        <color theme="1"/>
        <rFont val="Calibri"/>
        <family val="2"/>
        <scheme val="minor"/>
      </rPr>
      <t>These are important areas for every trader,either as an entry point or an area to take profits.</t>
    </r>
  </si>
  <si>
    <t>Reversal Patterns</t>
  </si>
  <si>
    <t>These patterns reverse trends.Eg.Double Top,Double Bottom,Head and Shoulders,Cup n Handle.</t>
  </si>
  <si>
    <t>Continuation patterns</t>
  </si>
  <si>
    <t>These indicate a possble contination in trends. Eg.Triangles,Bull flag,Bear flag,Pennant</t>
  </si>
  <si>
    <t>Double Top</t>
  </si>
  <si>
    <t>This pattern halts the uptrend and starts a downtrend in that stock or index. Also called as M Top,coz it resembles an "M". If double tops are bearish,triple tops are even more so. There has to be a distance between one top and the other to qualify as a Double Top.Needs at least 3 month difference if you are looking athe daily charts.</t>
  </si>
  <si>
    <t>Double Bottom</t>
  </si>
  <si>
    <t>Same as above,it halts a downtrend,and starts an uptrend in that stock or index.</t>
  </si>
  <si>
    <t>Head and Shoulders Pattern</t>
  </si>
  <si>
    <t xml:space="preserve">Bearish,reversal pattern signalling the end of the current uptrend. Basically looks like the silhouette of a human left shoulder,head and the right shoulder.  Like the Double Top,strong volume push prices upwards forming the "left shoulder".The pullback is on lesser volume,then another strong rally on good volume,forming the "head" but this time,the volume causing this rally although forming higher prices,is now on relatively lower volume as compared to the vol. in the rally causing the left shoulder as the stock pulls back to the neckline,and starts rallying again to form the rt.shoulder,now volume is very noticeably lighter.
The break of the neckline confirms the H &amp; S pattern(Neckline is the line connecting the two troughs on either side of the head).Volume expansion is noticed as the pattern confirmation takes place.......and the stock or index is now in adown trend.(Reverse happens now......vol. expands on the down fall and decreases on a return move up).
</t>
  </si>
  <si>
    <t>Trading-Wise:ENTRY:The first down day below the neckline confirms the pattern.......short as the neckline breaks or enter short on a weak rally back to the area of the neckline.This line that was formerly strong support now acts as a stiff resistance.Short half on that return move,and the other half below the low of the confirmatory bar.
TARGET:First target would be.......calculate the difference from the head to neckline.Add that to the low of the bar that confirmed the pattern.
STOP:The high of the right shoulder.
Once the neckline gets broken,expect a return move......but at all costs the price should not re-break the neckline upwards.If this happens,it is called a FAILED H&amp;S PATTERN.Like a failed breakdown,this acts as a bear trap.....and is bullish.So get out if that neckline gets broken back upwards...</t>
  </si>
  <si>
    <t>Page 15</t>
  </si>
  <si>
    <t>INVERSE H&amp;S PATTERN</t>
  </si>
  <si>
    <t>Reverse of the above. Reversal pattern that ends a downtrend.</t>
  </si>
  <si>
    <t>Tradewise,all reverse of above.</t>
  </si>
  <si>
    <t>Waaree Energies</t>
  </si>
  <si>
    <t>AIA Engeering</t>
  </si>
  <si>
    <t>Hindustan Aeronautics Ltd (HAL)</t>
  </si>
  <si>
    <t>Investment</t>
  </si>
  <si>
    <t>SUM</t>
  </si>
  <si>
    <t>Persistent Systems</t>
  </si>
  <si>
    <t>Larsen &amp; Toubro (L&amp;T)</t>
  </si>
  <si>
    <t>Biocon</t>
  </si>
  <si>
    <t>Container Corp of India (CONCOR)</t>
  </si>
  <si>
    <t>Adani Ports &amp; SEZ</t>
  </si>
  <si>
    <t>Mazagon Dock</t>
  </si>
  <si>
    <t>GMDC</t>
  </si>
  <si>
    <t>Hindustan Copper (HCL)</t>
  </si>
  <si>
    <t>JSW Infrastructure</t>
  </si>
  <si>
    <t>Phase 1: Strategic Business Analysis (Qualitative)</t>
  </si>
  <si>
    <r>
      <t xml:space="preserve">Covers: </t>
    </r>
    <r>
      <rPr>
        <b/>
        <i/>
        <sz val="11"/>
        <color theme="1"/>
        <rFont val="Aptos"/>
        <family val="2"/>
      </rPr>
      <t>Business model, Unique standout factors, Industry position, Moats, Industry trends, and Management/Ethics.</t>
    </r>
  </si>
  <si>
    <t>"Act as a Senior Equity Research Analyst. Perform a deep-dive strategic analysis of Dixon Tech, CG Power, L&amp;T, Kaynes, BEL, and HCL Tech.</t>
  </si>
  <si>
    <t>1. Detail their Business Model (revenue generation) and what is Unique about them vs. competitors.</t>
  </si>
  <si>
    <t>2. Analyze their Industry Position and the current Growth Trend of the Indian Semiconductor/Electronics ecosystem.</t>
  </si>
  <si>
    <t>3. Define their Moat (brand, patents, or economies of scale).</t>
  </si>
  <si>
    <t>4. Evaluate Management &amp; Governance: Track record, transparency, ethical standards, and board effectiveness.</t>
  </si>
  <si>
    <t>5. Identify Macro Trends: Impact of interest rates, inflation, and economic growth on their specific operations."</t>
  </si>
  <si>
    <t>Phase 2: Financial Forensic Deep-Dive (Quantitative)</t>
  </si>
  <si>
    <r>
      <t xml:space="preserve">Covers: </t>
    </r>
    <r>
      <rPr>
        <b/>
        <i/>
        <sz val="11"/>
        <color theme="1"/>
        <rFont val="Aptos"/>
        <family val="2"/>
      </rPr>
      <t>5-year trends, Revenue, Profitability, Net Income Margins, Assets/Liabilities, Debt-to-Equity, and Red Flags.</t>
    </r>
  </si>
  <si>
    <t>"Analyze the 5-year financial performance (2021-2026) for these 6 companies.</t>
  </si>
  <si>
    <t>1. Provide a trend analysis for Revenue, Profitability, and Net Income Margins.</t>
  </si>
  <si>
    <t>2. Evaluate the Balance Sheet: Assets vs. Liabilities. Are there any Red Flags?</t>
  </si>
  <si>
    <t>3. Detail the Debt-to-Equity and Current Ratio for each. Are these levels healthy or alarming?</t>
  </si>
  <si>
    <t>4. Analyze Market Share Growth: Compare their growth against the total addressable market (TAM) size."</t>
  </si>
  <si>
    <t>Phase 3: Cash Flow &amp; Liquidity Mechanics</t>
  </si>
  <si>
    <r>
      <t xml:space="preserve">Covers: </t>
    </r>
    <r>
      <rPr>
        <b/>
        <i/>
        <sz val="11"/>
        <color theme="1"/>
        <rFont val="Aptos"/>
        <family val="2"/>
      </rPr>
      <t>Operating Cash Flow (OCF), Investing &amp; Financing Activities, OCF-to-Net-Income, FCF, Working Capital, and Capex.</t>
    </r>
  </si>
  <si>
    <t>"Provide a granular breakdown of the Cash Flow Statements for these 6 companies:</t>
  </si>
  <si>
    <t>1. Is Operating Cash Flow (OCF) consistent and derived from core business?</t>
  </si>
  <si>
    <t>2. Analyze Investing and Financing activities: Where is the cash going (Capex) and where is it coming from (Debt/Equity)?</t>
  </si>
  <si>
    <t>3. Calculate the OCF-to-Net-Income Ratio to check for quality earnings.</t>
  </si>
  <si>
    <t>4. Reflect on Working Capital efficiency and Free Cash Flow (FCF) health. Is the FCF sustainable for future growth?"</t>
  </si>
  <si>
    <t>Phase 4: Valuation &amp; Investment Verdict</t>
  </si>
  <si>
    <r>
      <t xml:space="preserve">Covers: </t>
    </r>
    <r>
      <rPr>
        <b/>
        <i/>
        <sz val="11"/>
        <color theme="1"/>
        <rFont val="Aptos"/>
        <family val="2"/>
      </rPr>
      <t>P/E, PEG $\ge$ 2.0, ROE, EPS Growth + PE Expansion, DCF Intrinsic Value, and Entry/Value/Exit Zones.</t>
    </r>
  </si>
  <si>
    <t>"Provide a final valuation and investment verdict for these 6 stocks:</t>
  </si>
  <si>
    <t>1. Compare P/E Ratios (over/under valued) and ROE (5-year health).</t>
  </si>
  <si>
    <t>2. Identify if there is EPS Growth combined with PE Expansion.</t>
  </si>
  <si>
    <t>3. Explicitly flag if the PEG Ratio is $\ge$ 2.0 (overvalued growth) or attractive.</t>
  </si>
  <si>
    <t>4. Explain the DCF (Discounted Cash Flow) impact: How do future cash flows discount back to present intrinsic value?</t>
  </si>
  <si>
    <t>5. Rate all 6 in chronological order of priority. Provide:</t>
  </si>
  <si>
    <t>Fundamentals &amp; Moat Summary.</t>
  </si>
  <si>
    <t>Recent Performance vs. Market Average.</t>
  </si>
  <si>
    <t>Entry Zones: High-conviction institutional levels.</t>
  </si>
  <si>
    <t>Value Zones: Accumulation price if Nifty corrects to 24,000.</t>
  </si>
  <si>
    <t>Exit Levels: Target prices for long-term profit booking."</t>
  </si>
  <si>
    <t>BEL</t>
  </si>
  <si>
    <t>Entry Zone (₹)</t>
  </si>
  <si>
    <t>Value Zone (Nifty 24k)</t>
  </si>
  <si>
    <t>Dixon Technologies</t>
  </si>
  <si>
    <t>Profit Booking</t>
  </si>
  <si>
    <t>Kaynes Technology</t>
  </si>
  <si>
    <t>HCL Technologies</t>
  </si>
  <si>
    <t>Data Patterns</t>
  </si>
  <si>
    <t>Solar Industries</t>
  </si>
  <si>
    <t>BDL (Bharat Dynamics)</t>
  </si>
  <si>
    <t>RIL</t>
  </si>
  <si>
    <t>Adani Enterprises</t>
  </si>
  <si>
    <t>Gravita India (The ESG Play)</t>
  </si>
  <si>
    <t>Dr. Reddy</t>
  </si>
  <si>
    <t>Sun Pharma</t>
  </si>
  <si>
    <t>Apollo Hospitals</t>
  </si>
  <si>
    <t>Divi’s Laboratories</t>
  </si>
  <si>
    <t>TCI (Transport Corp of India)</t>
  </si>
  <si>
    <t>GE Shipping</t>
  </si>
  <si>
    <t>BSE Ltd (The Volatility Capture)</t>
  </si>
  <si>
    <t>HDFC Bank (The Safety Play)</t>
  </si>
  <si>
    <t>Jio Financial (The Ecosystem Moonshot)</t>
  </si>
  <si>
    <t>Manufacturing + China+1 (Electronics Manufacturing Services)</t>
  </si>
  <si>
    <t>Sectors 2026</t>
  </si>
  <si>
    <t>Strong Compounders</t>
  </si>
  <si>
    <t>PG Electroplast</t>
  </si>
  <si>
    <t xml:space="preserve"> Growth Stocks</t>
  </si>
  <si>
    <t>Amber Enterprises</t>
  </si>
  <si>
    <t>Cyient DLM</t>
  </si>
  <si>
    <t>Syrma SGS Technology</t>
  </si>
  <si>
    <t>Avalon Technologies</t>
  </si>
  <si>
    <t>High-Risk Bets</t>
  </si>
  <si>
    <t>Sahasra Electronics</t>
  </si>
  <si>
    <t>DCX Systems</t>
  </si>
  <si>
    <t>Capital Goods / Infra / Capex Cycle (Multimodal Logistics &amp; Ports)</t>
  </si>
  <si>
    <t>Container Corporation of India (CONCOR)</t>
  </si>
  <si>
    <t>Allcargo Logistics</t>
  </si>
  <si>
    <t>Thermax Limited</t>
  </si>
  <si>
    <t>Ircon International</t>
  </si>
  <si>
    <t>Gateway Distriparks</t>
  </si>
  <si>
    <t>Defence Indigenization &amp; Aerospace &amp; Naval</t>
  </si>
  <si>
    <t>Energy Transition (Green + Renewables, Pumped Hydro)</t>
  </si>
  <si>
    <t>Financialization (Asset Management &amp; Wealth-Tech)</t>
  </si>
  <si>
    <t>Industrial Automation &amp; Engineering (Specialized Engineering &amp; ER&amp;D)</t>
  </si>
  <si>
    <t>HAL</t>
  </si>
  <si>
    <t>MAZGAON</t>
  </si>
  <si>
    <t>DATA PATTERNS</t>
  </si>
  <si>
    <t>BDL</t>
  </si>
  <si>
    <t>Astra Microwave Products</t>
  </si>
  <si>
    <t>Cochin Shipyard</t>
  </si>
  <si>
    <t>NTPC Limited</t>
  </si>
  <si>
    <t>Digital (Data Centers &amp; Cloud) / IT / AI Transformation</t>
  </si>
  <si>
    <t>Tata Consultancy Services (TCS)</t>
  </si>
  <si>
    <t>360 ONE WAM</t>
  </si>
  <si>
    <t>Angel One</t>
  </si>
  <si>
    <t>Computer Age Management Services (CAMS)</t>
  </si>
  <si>
    <t>Nippon Life India Asset Management</t>
  </si>
  <si>
    <t>BSE Limited</t>
  </si>
  <si>
    <t>HDFC Asset Management Company</t>
  </si>
  <si>
    <t>Siemens Limited (India)</t>
  </si>
  <si>
    <t>L&amp;T Technology Services (LTTS)</t>
  </si>
  <si>
    <t>KPIT Technologies</t>
  </si>
  <si>
    <t>Tata Elxsi</t>
  </si>
  <si>
    <t>Cyient Limited</t>
  </si>
  <si>
    <t>Coforge Limited</t>
  </si>
  <si>
    <t>Happiest Minds Technologies</t>
  </si>
  <si>
    <t>Titan Company Limited</t>
  </si>
  <si>
    <t>Premium Consumption + Auto Upgrade</t>
  </si>
  <si>
    <t>Mahindra &amp; Mahindra (M&amp;M)</t>
  </si>
  <si>
    <t>Trent Limited</t>
  </si>
  <si>
    <t>Eicher Motors</t>
  </si>
  <si>
    <t>Specialty Chemicals &amp; Battery Materials</t>
  </si>
  <si>
    <t>SRF Limited</t>
  </si>
  <si>
    <t>Aarti Industries</t>
  </si>
  <si>
    <t>Gujarat Fluorochemicals (GFL)</t>
  </si>
  <si>
    <t>PI Industries</t>
  </si>
  <si>
    <t>Neogen Chemicals</t>
  </si>
  <si>
    <t>Ami Organics</t>
  </si>
  <si>
    <t>Deepak Nitrite</t>
  </si>
  <si>
    <t>Navin Fluorine International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</si>
</sst>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m\.yy;@"/>
    <numFmt numFmtId="165" formatCode="#,##0.0"/>
  </numFmts>
  <fonts count="39">
    <font>
      <sz val="11"/>
      <color theme="1"/>
      <name val="Calibri"/>
      <family val="2"/>
      <scheme val="minor"/>
    </font>
    <font>
      <b/>
      <sz val="11"/>
      <color theme="1"/>
      <name val="Calibri"/>
      <family val="2"/>
      <scheme val="minor"/>
    </font>
    <font>
      <i/>
      <sz val="11"/>
      <color theme="1"/>
      <name val="Calibri"/>
      <family val="2"/>
      <scheme val="minor"/>
    </font>
    <font>
      <sz val="10"/>
      <color rgb="FF000000"/>
      <name val="Verdana"/>
      <family val="2"/>
    </font>
    <font>
      <u/>
      <sz val="11"/>
      <color theme="10"/>
      <name val="Calibri"/>
      <family val="2"/>
      <scheme val="minor"/>
    </font>
    <font>
      <b/>
      <i/>
      <sz val="11"/>
      <color theme="1"/>
      <name val="Calibri"/>
      <family val="2"/>
      <scheme val="minor"/>
    </font>
    <font>
      <sz val="11"/>
      <color rgb="FFFFC000"/>
      <name val="Calibri"/>
      <family val="2"/>
      <scheme val="minor"/>
    </font>
    <font>
      <sz val="11"/>
      <color rgb="FF00B0F0"/>
      <name val="Calibri"/>
      <family val="2"/>
      <scheme val="minor"/>
    </font>
    <font>
      <sz val="11"/>
      <color rgb="FF00B050"/>
      <name val="Calibri"/>
      <family val="2"/>
      <scheme val="minor"/>
    </font>
    <font>
      <b/>
      <sz val="14"/>
      <color theme="1"/>
      <name val="Calibri"/>
      <family val="2"/>
      <scheme val="minor"/>
    </font>
    <font>
      <sz val="11"/>
      <color rgb="FF7030A0"/>
      <name val="Calibri"/>
      <family val="2"/>
      <scheme val="minor"/>
    </font>
    <font>
      <sz val="9"/>
      <color indexed="81"/>
      <name val="Tahoma"/>
      <family val="2"/>
    </font>
    <font>
      <b/>
      <sz val="9"/>
      <color indexed="81"/>
      <name val="Tahoma"/>
      <family val="2"/>
    </font>
    <font>
      <sz val="11"/>
      <color theme="1"/>
      <name val="Calibri"/>
      <family val="2"/>
      <scheme val="minor"/>
    </font>
    <font>
      <sz val="11"/>
      <color theme="9" tint="-0.499984740745262"/>
      <name val="Calibri"/>
      <family val="2"/>
      <scheme val="minor"/>
    </font>
    <font>
      <b/>
      <sz val="11"/>
      <color theme="9" tint="-0.499984740745262"/>
      <name val="Calibri"/>
      <family val="2"/>
      <scheme val="minor"/>
    </font>
    <font>
      <sz val="11"/>
      <color theme="5"/>
      <name val="Calibri"/>
      <family val="2"/>
      <scheme val="minor"/>
    </font>
    <font>
      <sz val="11"/>
      <color rgb="FFFF0000"/>
      <name val="Calibri"/>
      <family val="2"/>
      <scheme val="minor"/>
    </font>
    <font>
      <b/>
      <sz val="11"/>
      <color rgb="FF00B0F0"/>
      <name val="Calibri"/>
      <family val="2"/>
      <scheme val="minor"/>
    </font>
    <font>
      <b/>
      <sz val="11"/>
      <color rgb="FF00B050"/>
      <name val="Calibri"/>
      <family val="2"/>
      <scheme val="minor"/>
    </font>
    <font>
      <sz val="10"/>
      <color theme="1"/>
      <name val="Segoe UI"/>
      <family val="2"/>
    </font>
    <font>
      <b/>
      <sz val="11"/>
      <name val="Calibri"/>
      <family val="2"/>
    </font>
    <font>
      <sz val="11"/>
      <color rgb="FF000000"/>
      <name val="Calibri"/>
      <family val="2"/>
    </font>
    <font>
      <b/>
      <sz val="11"/>
      <color theme="1"/>
      <name val="Arial"/>
      <family val="2"/>
      <charset val="1"/>
    </font>
    <font>
      <sz val="11"/>
      <color theme="1"/>
      <name val="Arial"/>
      <family val="2"/>
      <charset val="1"/>
    </font>
    <font>
      <sz val="12"/>
      <color theme="1"/>
      <name val="FkGroteskNeue"/>
      <charset val="1"/>
    </font>
    <font>
      <sz val="14"/>
      <color theme="1"/>
      <name val="FkGrotesk"/>
      <charset val="1"/>
    </font>
    <font>
      <sz val="9.6"/>
      <color theme="1"/>
      <name val="FkGroteskNeue"/>
      <charset val="1"/>
    </font>
    <font>
      <b/>
      <sz val="9.6"/>
      <color theme="1"/>
      <name val="FkGroteskNeue"/>
      <charset val="1"/>
    </font>
    <font>
      <b/>
      <sz val="13.5"/>
      <color theme="1"/>
      <name val="Calibri"/>
      <family val="2"/>
      <scheme val="minor"/>
    </font>
    <font>
      <sz val="11"/>
      <color theme="1"/>
      <name val="Aptos"/>
      <family val="2"/>
    </font>
    <font>
      <b/>
      <sz val="11"/>
      <color theme="1"/>
      <name val="Aptos"/>
      <family val="2"/>
    </font>
    <font>
      <b/>
      <i/>
      <sz val="11"/>
      <color theme="1"/>
      <name val="Aptos"/>
      <family val="2"/>
    </font>
    <font>
      <sz val="11"/>
      <name val="Calibri"/>
      <family val="2"/>
    </font>
    <font>
      <sz val="11"/>
      <color rgb="FFFF0000"/>
      <name val="Calibri"/>
      <family val="2"/>
    </font>
    <font>
      <sz val="11"/>
      <color rgb="FF00B050"/>
      <name val="Calibri"/>
      <family val="2"/>
    </font>
    <font>
      <sz val="11"/>
      <color theme="9"/>
      <name val="Calibri"/>
      <family val="2"/>
    </font>
    <font>
      <b/>
      <sz val="11"/>
      <color rgb="FF000000"/>
      <name val="Calibri"/>
      <family val="2"/>
    </font>
    <font>
      <sz val="11"/>
      <color theme="9"/>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theme="0"/>
        <bgColor indexed="64"/>
      </patternFill>
    </fill>
    <fill>
      <patternFill patternType="solid">
        <fgColor rgb="FFF2F2F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3">
    <xf numFmtId="0" fontId="0" fillId="0" borderId="0"/>
    <xf numFmtId="0" fontId="4" fillId="0" borderId="0" applyNumberFormat="0" applyFill="0" applyBorder="0" applyAlignment="0" applyProtection="0"/>
    <xf numFmtId="9" fontId="13" fillId="0" borderId="0" applyFont="0" applyFill="0" applyBorder="0" applyAlignment="0" applyProtection="0"/>
  </cellStyleXfs>
  <cellXfs count="151">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horizontal="center" wrapText="1"/>
    </xf>
    <xf numFmtId="0" fontId="2" fillId="0" borderId="0" xfId="0" applyFont="1"/>
    <xf numFmtId="0" fontId="3" fillId="0" borderId="0" xfId="0" applyFont="1"/>
    <xf numFmtId="0" fontId="1" fillId="0" borderId="0" xfId="0" applyFont="1" applyAlignment="1">
      <alignment wrapText="1"/>
    </xf>
    <xf numFmtId="0" fontId="4" fillId="0" borderId="0" xfId="1"/>
    <xf numFmtId="0" fontId="2" fillId="0" borderId="0" xfId="0" applyFont="1" applyAlignment="1">
      <alignment wrapText="1"/>
    </xf>
    <xf numFmtId="0" fontId="4" fillId="0" borderId="0" xfId="1" applyAlignment="1">
      <alignment wrapText="1"/>
    </xf>
    <xf numFmtId="0" fontId="1" fillId="0" borderId="0" xfId="0" applyFont="1"/>
    <xf numFmtId="0" fontId="0" fillId="0" borderId="1" xfId="0" applyBorder="1"/>
    <xf numFmtId="0" fontId="2" fillId="0" borderId="1" xfId="0" applyFont="1" applyBorder="1" applyAlignment="1">
      <alignment wrapText="1"/>
    </xf>
    <xf numFmtId="3" fontId="0" fillId="0" borderId="0" xfId="0" applyNumberFormat="1" applyAlignment="1">
      <alignment horizontal="center"/>
    </xf>
    <xf numFmtId="0" fontId="0" fillId="2" borderId="0" xfId="0" applyFill="1" applyAlignment="1">
      <alignment wrapText="1"/>
    </xf>
    <xf numFmtId="4" fontId="0" fillId="0" borderId="0" xfId="0" applyNumberFormat="1" applyAlignment="1">
      <alignment horizontal="center"/>
    </xf>
    <xf numFmtId="0" fontId="0" fillId="0" borderId="0" xfId="0" applyAlignment="1">
      <alignment horizontal="left"/>
    </xf>
    <xf numFmtId="0" fontId="2" fillId="0" borderId="0" xfId="0" applyFont="1" applyAlignment="1">
      <alignment horizontal="center"/>
    </xf>
    <xf numFmtId="16" fontId="0" fillId="0" borderId="0" xfId="0" applyNumberFormat="1"/>
    <xf numFmtId="0" fontId="1" fillId="0" borderId="1" xfId="0" applyFont="1" applyBorder="1" applyAlignment="1">
      <alignment horizontal="center"/>
    </xf>
    <xf numFmtId="0" fontId="9" fillId="0" borderId="0" xfId="0" applyFont="1" applyAlignment="1">
      <alignment horizontal="center"/>
    </xf>
    <xf numFmtId="0" fontId="8" fillId="0" borderId="0" xfId="0" applyFont="1" applyAlignment="1">
      <alignment horizontal="center"/>
    </xf>
    <xf numFmtId="0" fontId="2" fillId="2" borderId="0" xfId="0" applyFont="1" applyFill="1" applyAlignment="1">
      <alignment horizontal="center"/>
    </xf>
    <xf numFmtId="0" fontId="6" fillId="0" borderId="0" xfId="0" applyFont="1" applyAlignment="1">
      <alignment horizontal="center"/>
    </xf>
    <xf numFmtId="0" fontId="10" fillId="0" borderId="0" xfId="0" applyFont="1" applyAlignment="1">
      <alignment horizontal="center"/>
    </xf>
    <xf numFmtId="0" fontId="0" fillId="2" borderId="0" xfId="0" applyFill="1" applyAlignment="1">
      <alignment horizontal="center"/>
    </xf>
    <xf numFmtId="0" fontId="0" fillId="0" borderId="2" xfId="0" applyBorder="1"/>
    <xf numFmtId="0" fontId="0" fillId="0" borderId="2" xfId="0" applyBorder="1" applyAlignment="1">
      <alignment horizontal="center"/>
    </xf>
    <xf numFmtId="3" fontId="0" fillId="0" borderId="2" xfId="0" applyNumberFormat="1" applyBorder="1" applyAlignment="1">
      <alignment horizontal="center"/>
    </xf>
    <xf numFmtId="0" fontId="2" fillId="0" borderId="2" xfId="0" applyFont="1" applyBorder="1" applyAlignment="1">
      <alignment horizontal="center"/>
    </xf>
    <xf numFmtId="3" fontId="1" fillId="0" borderId="0" xfId="0" applyNumberFormat="1" applyFont="1" applyAlignment="1">
      <alignment horizontal="center"/>
    </xf>
    <xf numFmtId="3" fontId="2" fillId="0" borderId="2" xfId="0" applyNumberFormat="1" applyFont="1" applyBorder="1" applyAlignment="1">
      <alignment horizontal="center"/>
    </xf>
    <xf numFmtId="164" fontId="0" fillId="0" borderId="0" xfId="0" applyNumberFormat="1" applyAlignment="1">
      <alignment horizontal="center"/>
    </xf>
    <xf numFmtId="0" fontId="14" fillId="0" borderId="0" xfId="0" applyFont="1" applyAlignment="1">
      <alignment horizontal="center"/>
    </xf>
    <xf numFmtId="0" fontId="15" fillId="0" borderId="0" xfId="0" applyFont="1" applyAlignment="1">
      <alignment horizontal="center"/>
    </xf>
    <xf numFmtId="10" fontId="1" fillId="0" borderId="0" xfId="2" applyNumberFormat="1" applyFont="1"/>
    <xf numFmtId="0" fontId="16" fillId="0" borderId="0" xfId="0" applyFont="1" applyAlignment="1">
      <alignment horizontal="center"/>
    </xf>
    <xf numFmtId="9" fontId="7" fillId="0" borderId="0" xfId="0" applyNumberFormat="1" applyFont="1" applyAlignment="1">
      <alignment horizontal="center"/>
    </xf>
    <xf numFmtId="16" fontId="0" fillId="0" borderId="0" xfId="0" applyNumberFormat="1" applyAlignment="1">
      <alignment horizontal="center"/>
    </xf>
    <xf numFmtId="16" fontId="0" fillId="0" borderId="2" xfId="0" applyNumberFormat="1" applyBorder="1" applyAlignment="1">
      <alignment horizontal="center"/>
    </xf>
    <xf numFmtId="14" fontId="0" fillId="0" borderId="2" xfId="0" applyNumberFormat="1" applyBorder="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0" fontId="18" fillId="0" borderId="0" xfId="0" applyFont="1" applyAlignment="1">
      <alignment horizontal="center"/>
    </xf>
    <xf numFmtId="0" fontId="0" fillId="0" borderId="3" xfId="0" applyBorder="1"/>
    <xf numFmtId="0" fontId="0" fillId="0" borderId="3" xfId="0" applyBorder="1" applyAlignment="1">
      <alignment horizontal="center"/>
    </xf>
    <xf numFmtId="16" fontId="0" fillId="0" borderId="3" xfId="0" applyNumberFormat="1" applyBorder="1" applyAlignment="1">
      <alignment horizontal="center"/>
    </xf>
    <xf numFmtId="3" fontId="0" fillId="0" borderId="3" xfId="0" applyNumberFormat="1" applyBorder="1" applyAlignment="1">
      <alignment horizontal="center"/>
    </xf>
    <xf numFmtId="0" fontId="2" fillId="0" borderId="3" xfId="0" applyFont="1" applyBorder="1" applyAlignment="1">
      <alignment horizontal="center"/>
    </xf>
    <xf numFmtId="3" fontId="1" fillId="0" borderId="3" xfId="0" applyNumberFormat="1" applyFont="1" applyBorder="1" applyAlignment="1">
      <alignment horizontal="center"/>
    </xf>
    <xf numFmtId="3" fontId="2" fillId="0" borderId="3" xfId="0" applyNumberFormat="1" applyFont="1" applyBorder="1" applyAlignment="1">
      <alignment horizontal="center"/>
    </xf>
    <xf numFmtId="4" fontId="0" fillId="0" borderId="2" xfId="0" applyNumberFormat="1" applyBorder="1" applyAlignment="1">
      <alignment horizontal="center"/>
    </xf>
    <xf numFmtId="4" fontId="0" fillId="0" borderId="3" xfId="0" applyNumberFormat="1" applyBorder="1" applyAlignment="1">
      <alignment horizontal="center"/>
    </xf>
    <xf numFmtId="165" fontId="0" fillId="0" borderId="0" xfId="0" applyNumberFormat="1" applyAlignment="1">
      <alignment horizontal="center"/>
    </xf>
    <xf numFmtId="165" fontId="0" fillId="0" borderId="2" xfId="0" applyNumberFormat="1" applyBorder="1" applyAlignment="1">
      <alignment horizontal="center"/>
    </xf>
    <xf numFmtId="165" fontId="0" fillId="0" borderId="3" xfId="0" applyNumberFormat="1" applyBorder="1" applyAlignment="1">
      <alignment horizontal="center"/>
    </xf>
    <xf numFmtId="0" fontId="0" fillId="0" borderId="4" xfId="0" applyBorder="1"/>
    <xf numFmtId="0" fontId="0" fillId="0" borderId="5" xfId="0" applyBorder="1" applyAlignment="1">
      <alignment horizontal="center"/>
    </xf>
    <xf numFmtId="0" fontId="0" fillId="0" borderId="5" xfId="0" applyBorder="1"/>
    <xf numFmtId="165" fontId="0" fillId="0" borderId="5" xfId="0" applyNumberFormat="1" applyBorder="1" applyAlignment="1">
      <alignment horizontal="center"/>
    </xf>
    <xf numFmtId="4" fontId="0" fillId="0" borderId="5" xfId="0" applyNumberFormat="1" applyBorder="1" applyAlignment="1">
      <alignment horizontal="center"/>
    </xf>
    <xf numFmtId="0" fontId="2" fillId="0" borderId="5" xfId="0" applyFont="1" applyBorder="1" applyAlignment="1">
      <alignment horizontal="center"/>
    </xf>
    <xf numFmtId="0" fontId="0" fillId="0" borderId="6" xfId="0" applyBorder="1" applyAlignment="1">
      <alignment horizontal="center"/>
    </xf>
    <xf numFmtId="0" fontId="1" fillId="0" borderId="7" xfId="0" applyFont="1" applyBorder="1"/>
    <xf numFmtId="165" fontId="1" fillId="0" borderId="0" xfId="0" applyNumberFormat="1" applyFont="1" applyAlignment="1">
      <alignment horizontal="center"/>
    </xf>
    <xf numFmtId="4" fontId="1" fillId="0" borderId="0" xfId="0" applyNumberFormat="1" applyFont="1" applyAlignment="1">
      <alignment horizontal="center"/>
    </xf>
    <xf numFmtId="0" fontId="5" fillId="0" borderId="0" xfId="0" applyFont="1" applyAlignment="1">
      <alignment horizontal="center"/>
    </xf>
    <xf numFmtId="0" fontId="1" fillId="0" borderId="8" xfId="0" applyFont="1" applyBorder="1" applyAlignment="1">
      <alignment horizontal="center"/>
    </xf>
    <xf numFmtId="0" fontId="2" fillId="0" borderId="9" xfId="0" applyFont="1" applyBorder="1"/>
    <xf numFmtId="0" fontId="0" fillId="0" borderId="8" xfId="0" applyBorder="1" applyAlignment="1">
      <alignment horizontal="center"/>
    </xf>
    <xf numFmtId="0" fontId="0" fillId="0" borderId="7" xfId="0" applyBorder="1"/>
    <xf numFmtId="0" fontId="0" fillId="3" borderId="0" xfId="0" applyFill="1"/>
    <xf numFmtId="3" fontId="2" fillId="0" borderId="0" xfId="0" applyNumberFormat="1" applyFont="1" applyAlignment="1">
      <alignment horizontal="center"/>
    </xf>
    <xf numFmtId="9" fontId="0" fillId="0" borderId="8" xfId="2" applyFont="1" applyBorder="1" applyAlignment="1">
      <alignment horizontal="center"/>
    </xf>
    <xf numFmtId="0" fontId="0" fillId="4" borderId="0" xfId="0" applyFill="1"/>
    <xf numFmtId="0" fontId="17" fillId="0" borderId="0" xfId="0" applyFont="1"/>
    <xf numFmtId="0" fontId="0" fillId="0" borderId="10" xfId="0" applyBorder="1"/>
    <xf numFmtId="0" fontId="8" fillId="0" borderId="0" xfId="0" applyFont="1"/>
    <xf numFmtId="0" fontId="0" fillId="0" borderId="9" xfId="0" applyBorder="1"/>
    <xf numFmtId="14" fontId="0" fillId="0" borderId="0" xfId="0" applyNumberFormat="1" applyAlignment="1">
      <alignment horizontal="center"/>
    </xf>
    <xf numFmtId="0" fontId="2" fillId="0" borderId="7" xfId="0" applyFont="1" applyBorder="1"/>
    <xf numFmtId="9" fontId="0" fillId="0" borderId="0" xfId="2" applyFont="1" applyBorder="1" applyAlignment="1">
      <alignment horizontal="center"/>
    </xf>
    <xf numFmtId="0" fontId="0" fillId="0" borderId="11" xfId="0" applyBorder="1" applyAlignment="1">
      <alignment horizontal="center"/>
    </xf>
    <xf numFmtId="9" fontId="0" fillId="0" borderId="11" xfId="2" applyFont="1" applyBorder="1" applyAlignment="1">
      <alignment horizontal="center"/>
    </xf>
    <xf numFmtId="0" fontId="0" fillId="0" borderId="12" xfId="0" applyBorder="1" applyAlignment="1">
      <alignment horizontal="center"/>
    </xf>
    <xf numFmtId="16" fontId="1" fillId="0" borderId="0" xfId="0" applyNumberFormat="1" applyFont="1" applyAlignment="1">
      <alignment horizontal="center"/>
    </xf>
    <xf numFmtId="3" fontId="5" fillId="0" borderId="0" xfId="0" applyNumberFormat="1" applyFont="1" applyAlignment="1">
      <alignment horizontal="center"/>
    </xf>
    <xf numFmtId="0" fontId="19" fillId="0" borderId="0" xfId="0" applyFont="1"/>
    <xf numFmtId="0" fontId="0" fillId="0" borderId="13" xfId="0" applyBorder="1"/>
    <xf numFmtId="0" fontId="0" fillId="0" borderId="14" xfId="0" applyBorder="1" applyAlignment="1">
      <alignment horizontal="center"/>
    </xf>
    <xf numFmtId="0" fontId="0" fillId="0" borderId="14" xfId="0" applyBorder="1"/>
    <xf numFmtId="165" fontId="0" fillId="0" borderId="14" xfId="0" applyNumberFormat="1" applyBorder="1" applyAlignment="1">
      <alignment horizontal="center"/>
    </xf>
    <xf numFmtId="3" fontId="0" fillId="0" borderId="14" xfId="0" applyNumberFormat="1" applyBorder="1" applyAlignment="1">
      <alignment horizontal="center"/>
    </xf>
    <xf numFmtId="4" fontId="0" fillId="0" borderId="14" xfId="0" applyNumberFormat="1" applyBorder="1" applyAlignment="1">
      <alignment horizontal="center"/>
    </xf>
    <xf numFmtId="3" fontId="1" fillId="0" borderId="14" xfId="0" applyNumberFormat="1" applyFont="1" applyBorder="1" applyAlignment="1">
      <alignment horizontal="center"/>
    </xf>
    <xf numFmtId="0" fontId="0" fillId="0" borderId="15" xfId="0" applyBorder="1" applyAlignment="1">
      <alignment horizontal="center"/>
    </xf>
    <xf numFmtId="16" fontId="0" fillId="0" borderId="0" xfId="0" applyNumberFormat="1" applyAlignment="1">
      <alignment horizontal="left"/>
    </xf>
    <xf numFmtId="0" fontId="8" fillId="5" borderId="0" xfId="0" applyFont="1" applyFill="1"/>
    <xf numFmtId="0" fontId="17" fillId="5" borderId="3" xfId="0" applyFont="1" applyFill="1" applyBorder="1"/>
    <xf numFmtId="0" fontId="17" fillId="0" borderId="3" xfId="0" applyFont="1" applyBorder="1"/>
    <xf numFmtId="0" fontId="20" fillId="0" borderId="0" xfId="0" applyFont="1"/>
    <xf numFmtId="0" fontId="21" fillId="0" borderId="1" xfId="0" applyFont="1" applyBorder="1"/>
    <xf numFmtId="0" fontId="24" fillId="0" borderId="17" xfId="0" applyFont="1" applyBorder="1"/>
    <xf numFmtId="0" fontId="24" fillId="0" borderId="18" xfId="0" applyFont="1" applyBorder="1"/>
    <xf numFmtId="0" fontId="24" fillId="0" borderId="20" xfId="0" applyFont="1" applyBorder="1"/>
    <xf numFmtId="0" fontId="24" fillId="0" borderId="19" xfId="0" applyFont="1" applyBorder="1"/>
    <xf numFmtId="0" fontId="23" fillId="6" borderId="20" xfId="0" applyFont="1" applyFill="1" applyBorder="1"/>
    <xf numFmtId="0" fontId="23" fillId="6" borderId="18" xfId="0" applyFont="1" applyFill="1" applyBorder="1"/>
    <xf numFmtId="0" fontId="24" fillId="0" borderId="21" xfId="0" applyFont="1" applyBorder="1"/>
    <xf numFmtId="0" fontId="24" fillId="0" borderId="22" xfId="0" applyFont="1" applyBorder="1"/>
    <xf numFmtId="0" fontId="25" fillId="0" borderId="0" xfId="0" applyFont="1" applyAlignment="1">
      <alignment wrapText="1"/>
    </xf>
    <xf numFmtId="0" fontId="26" fillId="0" borderId="0" xfId="0" applyFont="1" applyAlignment="1">
      <alignment wrapText="1"/>
    </xf>
    <xf numFmtId="0" fontId="27" fillId="0" borderId="1" xfId="0" applyFont="1" applyBorder="1" applyAlignment="1">
      <alignment wrapText="1"/>
    </xf>
    <xf numFmtId="0" fontId="27" fillId="0" borderId="16" xfId="0" applyFont="1" applyBorder="1" applyAlignment="1">
      <alignment wrapText="1"/>
    </xf>
    <xf numFmtId="3" fontId="28" fillId="0" borderId="24" xfId="0" applyNumberFormat="1" applyFont="1" applyBorder="1" applyAlignment="1">
      <alignment wrapText="1"/>
    </xf>
    <xf numFmtId="3" fontId="0" fillId="0" borderId="0" xfId="0" applyNumberFormat="1"/>
    <xf numFmtId="0" fontId="27" fillId="0" borderId="23" xfId="0" applyFont="1" applyBorder="1" applyAlignment="1">
      <alignment wrapText="1"/>
    </xf>
    <xf numFmtId="0" fontId="27" fillId="0" borderId="24" xfId="0" applyFont="1" applyBorder="1" applyAlignment="1">
      <alignment wrapText="1"/>
    </xf>
    <xf numFmtId="3" fontId="27" fillId="0" borderId="24" xfId="0" applyNumberFormat="1" applyFont="1" applyBorder="1" applyAlignment="1">
      <alignment wrapText="1"/>
    </xf>
    <xf numFmtId="0" fontId="1" fillId="0" borderId="0" xfId="0" applyFont="1" applyAlignment="1">
      <alignment horizontal="center"/>
    </xf>
    <xf numFmtId="0" fontId="7" fillId="0" borderId="0" xfId="0" applyFont="1" applyAlignment="1">
      <alignment horizontal="center"/>
    </xf>
    <xf numFmtId="0" fontId="0" fillId="0" borderId="1" xfId="0" applyBorder="1" applyAlignment="1">
      <alignment horizontal="center"/>
    </xf>
    <xf numFmtId="0" fontId="29"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22" fillId="0" borderId="0" xfId="0" applyFont="1" applyAlignment="1">
      <alignment horizontal="center"/>
    </xf>
    <xf numFmtId="0" fontId="21" fillId="0" borderId="16" xfId="0" applyFont="1" applyBorder="1" applyAlignment="1">
      <alignment horizontal="center"/>
    </xf>
    <xf numFmtId="0" fontId="31" fillId="0" borderId="0" xfId="0" applyFont="1" applyAlignment="1">
      <alignment vertical="center"/>
    </xf>
    <xf numFmtId="0" fontId="30" fillId="0" borderId="0" xfId="0" applyFont="1" applyAlignment="1">
      <alignment vertical="center"/>
    </xf>
    <xf numFmtId="0" fontId="30" fillId="0" borderId="0" xfId="0" applyFont="1" applyAlignment="1">
      <alignment horizontal="left" vertical="center" indent="1"/>
    </xf>
    <xf numFmtId="0" fontId="30" fillId="0" borderId="0" xfId="0" applyFont="1" applyAlignment="1">
      <alignment horizontal="left" vertical="center" indent="2"/>
    </xf>
    <xf numFmtId="0" fontId="33" fillId="0" borderId="0" xfId="0" applyFont="1" applyAlignment="1">
      <alignment horizontal="center"/>
    </xf>
    <xf numFmtId="3" fontId="33" fillId="0" borderId="0" xfId="0" applyNumberFormat="1" applyFont="1" applyAlignment="1">
      <alignment horizontal="center"/>
    </xf>
    <xf numFmtId="3" fontId="22" fillId="0" borderId="0" xfId="0" applyNumberFormat="1" applyFont="1" applyAlignment="1">
      <alignment horizontal="center"/>
    </xf>
    <xf numFmtId="0" fontId="34" fillId="0" borderId="0" xfId="0" applyFont="1" applyAlignment="1">
      <alignment horizontal="left"/>
    </xf>
    <xf numFmtId="0" fontId="35" fillId="0" borderId="0" xfId="0" applyFont="1" applyAlignment="1">
      <alignment horizontal="left"/>
    </xf>
    <xf numFmtId="0" fontId="8" fillId="0" borderId="0" xfId="0" applyFont="1" applyAlignment="1">
      <alignment horizontal="left" wrapText="1"/>
    </xf>
    <xf numFmtId="0" fontId="36" fillId="0" borderId="0" xfId="0" applyFont="1" applyAlignment="1">
      <alignment horizontal="left"/>
    </xf>
    <xf numFmtId="0" fontId="37" fillId="0" borderId="0" xfId="0" applyFont="1" applyAlignment="1">
      <alignment horizontal="center"/>
    </xf>
    <xf numFmtId="0" fontId="38" fillId="0" borderId="0" xfId="0" applyFont="1" applyAlignment="1">
      <alignment horizontal="left"/>
    </xf>
    <xf numFmtId="0" fontId="1" fillId="0" borderId="0" xfId="0" applyFont="1" applyAlignment="1">
      <alignment horizontal="center"/>
    </xf>
    <xf numFmtId="0" fontId="9" fillId="0" borderId="1" xfId="0" applyFont="1" applyBorder="1" applyAlignment="1">
      <alignment horizontal="center"/>
    </xf>
    <xf numFmtId="0" fontId="0" fillId="0" borderId="0" xfId="0" applyAlignment="1">
      <alignment horizontal="center"/>
    </xf>
    <xf numFmtId="0" fontId="7" fillId="0" borderId="0" xfId="0" applyFont="1" applyAlignment="1">
      <alignment horizontal="center"/>
    </xf>
    <xf numFmtId="0" fontId="0" fillId="0" borderId="0" xfId="0" applyAlignment="1">
      <alignment horizontal="left" wrapText="1"/>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center"/>
    </xf>
    <xf numFmtId="0" fontId="9" fillId="0" borderId="0" xfId="0" applyFont="1" applyBorder="1" applyAlignment="1">
      <alignment horizontal="center"/>
    </xf>
    <xf numFmtId="0" fontId="0" fillId="0" borderId="0" xfId="0" applyFont="1" applyBorder="1" applyAlignment="1">
      <alignment horizontal="center"/>
    </xf>
    <xf numFmtId="0" fontId="1" fillId="0" borderId="0" xfId="0" applyFont="1" applyBorder="1" applyAlignment="1">
      <alignment horizontal="center"/>
    </xf>
  </cellXfs>
  <cellStyles count="3">
    <cellStyle name="Hyperlink" xfId="1" builtinId="8"/>
    <cellStyle name="Normal" xfId="0" builtinId="0"/>
    <cellStyle name="Percent" xfId="2" builtinId="5"/>
  </cellStyles>
  <dxfs count="10">
    <dxf>
      <font>
        <b val="0"/>
        <i val="0"/>
        <strike val="0"/>
        <condense val="0"/>
        <extend val="0"/>
        <outline val="0"/>
        <shadow val="0"/>
        <u val="none"/>
        <vertAlign val="baseline"/>
        <sz val="11"/>
        <color theme="1"/>
        <name val="Arial"/>
        <family val="2"/>
        <charset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charset val="1"/>
        <scheme val="none"/>
      </font>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Arial"/>
        <family val="2"/>
        <charset val="1"/>
        <scheme val="none"/>
      </font>
      <fill>
        <patternFill patternType="solid">
          <fgColor indexed="64"/>
          <bgColor rgb="FFF2F2F2"/>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Arial"/>
        <family val="2"/>
        <charset val="1"/>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charset val="1"/>
        <scheme val="none"/>
      </font>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Arial"/>
        <family val="2"/>
        <charset val="1"/>
        <scheme val="none"/>
      </font>
      <fill>
        <patternFill patternType="solid">
          <fgColor indexed="64"/>
          <bgColor rgb="FFF2F2F2"/>
        </patternFill>
      </fill>
      <border diagonalUp="0" diagonalDown="0" outline="0">
        <left style="thin">
          <color rgb="FF000000"/>
        </left>
        <right style="thin">
          <color rgb="FF000000"/>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868680</xdr:colOff>
      <xdr:row>15</xdr:row>
      <xdr:rowOff>329138</xdr:rowOff>
    </xdr:from>
    <xdr:to>
      <xdr:col>1</xdr:col>
      <xdr:colOff>2057400</xdr:colOff>
      <xdr:row>17</xdr:row>
      <xdr:rowOff>165</xdr:rowOff>
    </xdr:to>
    <xdr:pic>
      <xdr:nvPicPr>
        <xdr:cNvPr id="2" name="Picture 1">
          <a:extLst>
            <a:ext uri="{FF2B5EF4-FFF2-40B4-BE49-F238E27FC236}">
              <a16:creationId xmlns:a16="http://schemas.microsoft.com/office/drawing/2014/main" id="{FDC3EF37-EEB3-09AC-305D-DFB308587867}"/>
            </a:ext>
          </a:extLst>
        </xdr:cNvPr>
        <xdr:cNvPicPr>
          <a:picLocks noChangeAspect="1"/>
        </xdr:cNvPicPr>
      </xdr:nvPicPr>
      <xdr:blipFill>
        <a:blip xmlns:r="http://schemas.openxmlformats.org/officeDocument/2006/relationships" r:embed="rId1"/>
        <a:stretch>
          <a:fillRect/>
        </a:stretch>
      </xdr:blipFill>
      <xdr:spPr>
        <a:xfrm>
          <a:off x="1767840" y="4352498"/>
          <a:ext cx="1188720" cy="11340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0A346F-5D4E-49A2-A7FD-D87E3DD737D0}" name="Table13" displayName="Table13" ref="C4:F11" totalsRowShown="0" headerRowDxfId="9" headerRowBorderDxfId="8" tableBorderDxfId="7">
  <autoFilter ref="C4:F11" xr:uid="{180A346F-5D4E-49A2-A7FD-D87E3DD737D0}"/>
  <tableColumns count="4">
    <tableColumn id="1" xr3:uid="{F20B730A-3C97-466F-AD71-2175367736DE}" name="Fundamental Metric" dataDxfId="6"/>
    <tableColumn id="2" xr3:uid="{67719E0C-464E-4B8A-8809-75A01E9CC20D}" name="Metric/Threshold" dataDxfId="5"/>
    <tableColumn id="3" xr3:uid="{B8B8700F-4BA4-41DE-8101-9F5D54084B6A}" name="Column1"/>
    <tableColumn id="4" xr3:uid="{90C6ED0F-5636-43BE-A449-D07109E86BAB}" name="Column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BE5743-FC48-410D-8F81-64051C96CA21}" name="Table1" displayName="Table1" ref="R3:S10" totalsRowShown="0" headerRowDxfId="4" headerRowBorderDxfId="3" tableBorderDxfId="2">
  <autoFilter ref="R3:S10" xr:uid="{1FBE5743-FC48-410D-8F81-64051C96CA21}"/>
  <tableColumns count="2">
    <tableColumn id="1" xr3:uid="{1D12F660-2887-42CB-A4EB-D9E106CB7A7E}" name="Fundamental Metric" dataDxfId="1"/>
    <tableColumn id="2" xr3:uid="{E65EA293-336A-4CF7-9DEF-2FDD16AD6B2F}" name="Metric/Threshold"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youtube.com/watch?v=924-bji0I6Y" TargetMode="External"/><Relationship Id="rId13" Type="http://schemas.openxmlformats.org/officeDocument/2006/relationships/hyperlink" Target="https://www.youtube.com/watch?v=I13xlJnrC38" TargetMode="External"/><Relationship Id="rId3" Type="http://schemas.openxmlformats.org/officeDocument/2006/relationships/hyperlink" Target="https://www.youtube.com/watch?v=hPDt91OsxKE" TargetMode="External"/><Relationship Id="rId7" Type="http://schemas.openxmlformats.org/officeDocument/2006/relationships/hyperlink" Target="https://www.youtube.com/watch?v=924-bji0I6Y" TargetMode="External"/><Relationship Id="rId12" Type="http://schemas.openxmlformats.org/officeDocument/2006/relationships/hyperlink" Target="https://www.youtube.com/watch?v=I13xlJnrC38" TargetMode="External"/><Relationship Id="rId17" Type="http://schemas.openxmlformats.org/officeDocument/2006/relationships/printerSettings" Target="../printerSettings/printerSettings4.bin"/><Relationship Id="rId2" Type="http://schemas.openxmlformats.org/officeDocument/2006/relationships/hyperlink" Target="https://www.youtube.com/watch?v=2eZg2zHzOu0&amp;list=PLFQ0hRWyH11RS4KUPadj6aoC2KtEHVIfN&amp;index=12" TargetMode="External"/><Relationship Id="rId16" Type="http://schemas.openxmlformats.org/officeDocument/2006/relationships/hyperlink" Target="https://www.youtube.com/watch?v=ccLPqIzh0CU" TargetMode="External"/><Relationship Id="rId1" Type="http://schemas.openxmlformats.org/officeDocument/2006/relationships/hyperlink" Target="https://www.youtube.com/watch?v=YdI64w6qYkg&amp;list=PLFQ0hRWyH11RS4KUPadj6aoC2KtEHVIfN&amp;index=22" TargetMode="External"/><Relationship Id="rId6" Type="http://schemas.openxmlformats.org/officeDocument/2006/relationships/hyperlink" Target="https://www.youtube.com/watch?v=924-bji0I6Y" TargetMode="External"/><Relationship Id="rId11" Type="http://schemas.openxmlformats.org/officeDocument/2006/relationships/hyperlink" Target="https://www.youtube.com/watch?v=I13xlJnrC38" TargetMode="External"/><Relationship Id="rId5" Type="http://schemas.openxmlformats.org/officeDocument/2006/relationships/hyperlink" Target="https://www.youtube.com/watch?v=924-bji0I6Y" TargetMode="External"/><Relationship Id="rId15" Type="http://schemas.openxmlformats.org/officeDocument/2006/relationships/hyperlink" Target="https://www.youtube.com/watch?v=I13xlJnrC38" TargetMode="External"/><Relationship Id="rId10" Type="http://schemas.openxmlformats.org/officeDocument/2006/relationships/hyperlink" Target="https://www.youtube.com/watch?v=I13xlJnrC38" TargetMode="External"/><Relationship Id="rId4" Type="http://schemas.openxmlformats.org/officeDocument/2006/relationships/hyperlink" Target="https://www.youtube.com/watch?v=924-bji0I6Y" TargetMode="External"/><Relationship Id="rId9" Type="http://schemas.openxmlformats.org/officeDocument/2006/relationships/hyperlink" Target="https://www.youtube.com/watch?v=_lQsquuVKqM&amp;t=687s" TargetMode="External"/><Relationship Id="rId14" Type="http://schemas.openxmlformats.org/officeDocument/2006/relationships/hyperlink" Target="https://www.youtube.com/watch?v=I13xlJnrC38"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l-T-Vyk2txc"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ticker.finology.in/company/20MICRONS" TargetMode="External"/><Relationship Id="rId13" Type="http://schemas.openxmlformats.org/officeDocument/2006/relationships/hyperlink" Target="https://www.livemint.com/market/market-stats/stocks-seacoast-shipping-services-share-price-nse-bse-s0000770" TargetMode="External"/><Relationship Id="rId18" Type="http://schemas.openxmlformats.org/officeDocument/2006/relationships/hyperlink" Target="https://www.ibef.org/indian-economy-news" TargetMode="External"/><Relationship Id="rId3" Type="http://schemas.openxmlformats.org/officeDocument/2006/relationships/hyperlink" Target="https://www.fool.com/investing/how-to-invest/stocks/technical-analysis/" TargetMode="External"/><Relationship Id="rId21" Type="http://schemas.openxmlformats.org/officeDocument/2006/relationships/hyperlink" Target="https://www.bseindia.com/markets.html" TargetMode="External"/><Relationship Id="rId7" Type="http://schemas.openxmlformats.org/officeDocument/2006/relationships/hyperlink" Target="https://www.equitymaster.com/stockquotes/railway/list-of-railway-sector?utm_source=top-menu&amp;utm_medium=website&amp;utm_campaign=performance&amp;utm_content=key-sector" TargetMode="External"/><Relationship Id="rId12" Type="http://schemas.openxmlformats.org/officeDocument/2006/relationships/hyperlink" Target="https://www.moneycontrol.com/india/stockpricequote/" TargetMode="External"/><Relationship Id="rId17" Type="http://schemas.openxmlformats.org/officeDocument/2006/relationships/hyperlink" Target="https://www.youtube.com/@ycvault" TargetMode="External"/><Relationship Id="rId2" Type="http://schemas.openxmlformats.org/officeDocument/2006/relationships/hyperlink" Target="https://www.perplexity.ai/" TargetMode="External"/><Relationship Id="rId16" Type="http://schemas.openxmlformats.org/officeDocument/2006/relationships/hyperlink" Target="https://www.youtube.com/watch?v=CBYhVcO4WgI&amp;list=PL5q_lef6zVkaTY_cT1k7qFNF2TidHCe-1" TargetMode="External"/><Relationship Id="rId20" Type="http://schemas.openxmlformats.org/officeDocument/2006/relationships/hyperlink" Target="https://www.nseindia.com/all-reports" TargetMode="External"/><Relationship Id="rId1" Type="http://schemas.openxmlformats.org/officeDocument/2006/relationships/hyperlink" Target="https://pmsuryaghar.gov.in/consumerRegistration" TargetMode="External"/><Relationship Id="rId6" Type="http://schemas.openxmlformats.org/officeDocument/2006/relationships/hyperlink" Target="https://www.screener.in/company/UPL/consolidated/" TargetMode="External"/><Relationship Id="rId11" Type="http://schemas.openxmlformats.org/officeDocument/2006/relationships/hyperlink" Target="https://www.tickertape.in/stocks/seacoast-shipping-services-SEA" TargetMode="External"/><Relationship Id="rId5" Type="http://schemas.openxmlformats.org/officeDocument/2006/relationships/hyperlink" Target="https://chartink.com/screener/adx-breakout-285" TargetMode="External"/><Relationship Id="rId15" Type="http://schemas.openxmlformats.org/officeDocument/2006/relationships/hyperlink" Target="https://www.equitymaster.com/research-it/indices/board-meeting?year=2024" TargetMode="External"/><Relationship Id="rId10" Type="http://schemas.openxmlformats.org/officeDocument/2006/relationships/hyperlink" Target="https://trendlyne.com/equity/1289/VEDL/vedanta-ltd/" TargetMode="External"/><Relationship Id="rId19" Type="http://schemas.openxmlformats.org/officeDocument/2006/relationships/hyperlink" Target="https://www.sebi.gov.in/sebiweb/home/HomeAction.do?doListing=yes&amp;sid=3&amp;ssid=14&amp;smid=9" TargetMode="External"/><Relationship Id="rId4" Type="http://schemas.openxmlformats.org/officeDocument/2006/relationships/hyperlink" Target="https://tlc.thinkorswim.com/center/reference/Tech-Indicators/studies-library/A-B/ADXBreakoutsFilter" TargetMode="External"/><Relationship Id="rId9" Type="http://schemas.openxmlformats.org/officeDocument/2006/relationships/hyperlink" Target="https://chartink.com/stocks/531456.html" TargetMode="External"/><Relationship Id="rId14" Type="http://schemas.openxmlformats.org/officeDocument/2006/relationships/hyperlink" Target="https://trendlyne.com/macro-data/fii-dii/latest/snapshot-pastmonth/" TargetMode="External"/><Relationship Id="rId22" Type="http://schemas.openxmlformats.org/officeDocument/2006/relationships/hyperlink" Target="https://jatan.skillnation.in/ai-g/?gad_source=1&amp;gclid=Cj0KCQjw-r-vBhC-ARIsAGgUO2AKqdTy6vMVfrcuXGm_Fr_7vlVjIasqn2cUfCfvmwCZq4T4sNUwMl4aAuylEALw_wcB"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3" Type="http://schemas.openxmlformats.org/officeDocument/2006/relationships/hyperlink" Target="https://www.youtube.com/watch?v=hPDt91OsxKE" TargetMode="External"/><Relationship Id="rId7" Type="http://schemas.openxmlformats.org/officeDocument/2006/relationships/drawing" Target="../drawings/drawing1.xml"/><Relationship Id="rId2" Type="http://schemas.openxmlformats.org/officeDocument/2006/relationships/hyperlink" Target="https://in.tradingview.com/" TargetMode="External"/><Relationship Id="rId1" Type="http://schemas.openxmlformats.org/officeDocument/2006/relationships/hyperlink" Target="https://chartink.com/" TargetMode="External"/><Relationship Id="rId6" Type="http://schemas.openxmlformats.org/officeDocument/2006/relationships/hyperlink" Target="https://www.youtube.com/watch?v=YdI64w6qYkg&amp;list=PLFQ0hRWyH11RS4KUPadj6aoC2KtEHVIfN&amp;index=22" TargetMode="External"/><Relationship Id="rId5" Type="http://schemas.openxmlformats.org/officeDocument/2006/relationships/hyperlink" Target="https://www.youtube.com/watch?v=2eZg2zHzOu0&amp;list=PLFQ0hRWyH11RS4KUPadj6aoC2KtEHVIfN&amp;index=12" TargetMode="External"/><Relationship Id="rId4" Type="http://schemas.openxmlformats.org/officeDocument/2006/relationships/hyperlink" Target="https://www.youtube.com/watch?v=s1jNzG2i05I"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ED6AD-57C9-49EF-8176-524B7D15B2EF}">
  <dimension ref="B1:I23"/>
  <sheetViews>
    <sheetView topLeftCell="A11" workbookViewId="0">
      <selection activeCell="C23" sqref="C23"/>
    </sheetView>
  </sheetViews>
  <sheetFormatPr defaultRowHeight="14.4"/>
  <cols>
    <col min="2" max="2" width="120.44140625" customWidth="1"/>
    <col min="3" max="3" width="52.109375" customWidth="1"/>
    <col min="4" max="4" width="27.44140625" customWidth="1"/>
    <col min="5" max="5" width="52.77734375" customWidth="1"/>
    <col min="6" max="6" width="41.21875" customWidth="1"/>
    <col min="7" max="7" width="25" customWidth="1"/>
    <col min="8" max="8" width="7.109375" customWidth="1"/>
    <col min="9" max="9" width="44.33203125" customWidth="1"/>
  </cols>
  <sheetData>
    <row r="1" spans="2:9" ht="17.399999999999999">
      <c r="B1" s="111" t="s">
        <v>0</v>
      </c>
    </row>
    <row r="2" spans="2:9" ht="30.6">
      <c r="B2" s="110" t="s">
        <v>1</v>
      </c>
    </row>
    <row r="3" spans="2:9" ht="30.6">
      <c r="B3" s="110" t="s">
        <v>2</v>
      </c>
    </row>
    <row r="4" spans="2:9" ht="17.399999999999999">
      <c r="B4" s="111" t="s">
        <v>3</v>
      </c>
      <c r="C4" s="106" t="s">
        <v>4</v>
      </c>
      <c r="D4" s="107" t="s">
        <v>5</v>
      </c>
      <c r="E4" s="107" t="s">
        <v>6</v>
      </c>
      <c r="F4" s="107" t="s">
        <v>7</v>
      </c>
    </row>
    <row r="5" spans="2:9" ht="72">
      <c r="B5" s="110" t="s">
        <v>8</v>
      </c>
      <c r="C5" s="104" t="s">
        <v>9</v>
      </c>
      <c r="D5" s="103" t="s">
        <v>10</v>
      </c>
      <c r="E5" s="1" t="s">
        <v>11</v>
      </c>
      <c r="F5" s="1" t="s">
        <v>12</v>
      </c>
    </row>
    <row r="6" spans="2:9" ht="72">
      <c r="B6" s="110" t="s">
        <v>13</v>
      </c>
      <c r="C6" s="105" t="s">
        <v>14</v>
      </c>
      <c r="D6" s="102" t="s">
        <v>15</v>
      </c>
      <c r="E6" s="1" t="s">
        <v>16</v>
      </c>
      <c r="F6" s="1" t="s">
        <v>17</v>
      </c>
    </row>
    <row r="7" spans="2:9" ht="43.2">
      <c r="B7" s="110" t="s">
        <v>18</v>
      </c>
      <c r="C7" s="105" t="s">
        <v>19</v>
      </c>
      <c r="D7" s="102" t="s">
        <v>20</v>
      </c>
      <c r="E7" s="1" t="s">
        <v>21</v>
      </c>
      <c r="F7" s="1"/>
    </row>
    <row r="8" spans="2:9" ht="72">
      <c r="B8" s="111" t="s">
        <v>22</v>
      </c>
      <c r="C8" s="105" t="s">
        <v>23</v>
      </c>
      <c r="D8" s="102" t="s">
        <v>24</v>
      </c>
      <c r="E8" s="1" t="s">
        <v>25</v>
      </c>
      <c r="F8" s="1" t="s">
        <v>26</v>
      </c>
    </row>
    <row r="9" spans="2:9" ht="43.2">
      <c r="B9" s="110" t="s">
        <v>27</v>
      </c>
      <c r="C9" s="105" t="s">
        <v>28</v>
      </c>
      <c r="D9" s="102" t="s">
        <v>29</v>
      </c>
      <c r="E9" s="1" t="s">
        <v>30</v>
      </c>
    </row>
    <row r="10" spans="2:9" ht="43.2">
      <c r="B10" s="110" t="s">
        <v>31</v>
      </c>
      <c r="C10" s="105" t="s">
        <v>32</v>
      </c>
      <c r="D10" s="102" t="s">
        <v>33</v>
      </c>
      <c r="E10" s="1" t="s">
        <v>34</v>
      </c>
    </row>
    <row r="11" spans="2:9" ht="43.2">
      <c r="B11" s="110" t="s">
        <v>35</v>
      </c>
      <c r="C11" s="108" t="s">
        <v>36</v>
      </c>
      <c r="D11" s="109" t="s">
        <v>37</v>
      </c>
      <c r="E11" s="1" t="s">
        <v>38</v>
      </c>
      <c r="F11" s="1" t="s">
        <v>39</v>
      </c>
    </row>
    <row r="12" spans="2:9" ht="17.399999999999999">
      <c r="B12" s="111" t="s">
        <v>40</v>
      </c>
    </row>
    <row r="13" spans="2:9" ht="15.6">
      <c r="B13" s="110" t="s">
        <v>41</v>
      </c>
    </row>
    <row r="14" spans="2:9" ht="30.6">
      <c r="B14" s="110" t="s">
        <v>42</v>
      </c>
      <c r="E14" s="112" t="s">
        <v>43</v>
      </c>
      <c r="F14" s="113" t="s">
        <v>44</v>
      </c>
      <c r="G14" s="113" t="s">
        <v>45</v>
      </c>
      <c r="I14" s="110" t="s">
        <v>46</v>
      </c>
    </row>
    <row r="15" spans="2:9" ht="30.6">
      <c r="C15" s="110" t="s">
        <v>47</v>
      </c>
      <c r="E15" s="116" t="s">
        <v>48</v>
      </c>
      <c r="F15" s="117" t="s">
        <v>49</v>
      </c>
      <c r="G15" s="114">
        <v>90000</v>
      </c>
      <c r="I15" s="110" t="s">
        <v>50</v>
      </c>
    </row>
    <row r="16" spans="2:9" ht="30.6">
      <c r="C16" s="110" t="s">
        <v>51</v>
      </c>
      <c r="E16" s="116" t="s">
        <v>52</v>
      </c>
      <c r="F16" s="117" t="s">
        <v>53</v>
      </c>
      <c r="G16" s="114">
        <v>90000</v>
      </c>
      <c r="I16" s="110" t="s">
        <v>54</v>
      </c>
    </row>
    <row r="17" spans="2:9" ht="30.6">
      <c r="C17" s="110" t="s">
        <v>55</v>
      </c>
      <c r="E17" s="116" t="s">
        <v>52</v>
      </c>
      <c r="F17" s="117" t="s">
        <v>56</v>
      </c>
      <c r="G17" s="114">
        <v>100000</v>
      </c>
      <c r="I17" s="110" t="s">
        <v>57</v>
      </c>
    </row>
    <row r="18" spans="2:9" ht="15.6">
      <c r="B18" s="110" t="s">
        <v>58</v>
      </c>
      <c r="E18" s="116" t="s">
        <v>59</v>
      </c>
      <c r="F18" s="117" t="s">
        <v>60</v>
      </c>
      <c r="G18" s="114">
        <v>100000</v>
      </c>
    </row>
    <row r="19" spans="2:9" ht="17.399999999999999">
      <c r="B19" s="111" t="s">
        <v>61</v>
      </c>
      <c r="E19" s="116" t="s">
        <v>62</v>
      </c>
      <c r="F19" s="117" t="s">
        <v>63</v>
      </c>
      <c r="G19" s="114">
        <v>65000</v>
      </c>
    </row>
    <row r="20" spans="2:9" ht="30.6">
      <c r="B20" s="110">
        <v>1</v>
      </c>
      <c r="C20" s="110" t="s">
        <v>64</v>
      </c>
      <c r="E20" s="116" t="s">
        <v>65</v>
      </c>
      <c r="F20" s="117" t="s">
        <v>66</v>
      </c>
      <c r="G20" s="114">
        <v>50000</v>
      </c>
    </row>
    <row r="21" spans="2:9" ht="30.6">
      <c r="B21" s="110">
        <v>2</v>
      </c>
      <c r="C21" s="110" t="s">
        <v>67</v>
      </c>
      <c r="E21" s="116" t="s">
        <v>68</v>
      </c>
      <c r="F21" s="117" t="s">
        <v>69</v>
      </c>
      <c r="G21" s="118">
        <v>100000</v>
      </c>
    </row>
    <row r="22" spans="2:9" ht="30.6">
      <c r="B22" s="110">
        <v>3</v>
      </c>
      <c r="C22" s="110" t="s">
        <v>70</v>
      </c>
      <c r="E22" s="116" t="s">
        <v>71</v>
      </c>
      <c r="F22" s="117" t="s">
        <v>72</v>
      </c>
      <c r="G22" s="118">
        <v>10000</v>
      </c>
    </row>
    <row r="23" spans="2:9" ht="409.6">
      <c r="B23" s="110" t="s">
        <v>73</v>
      </c>
      <c r="C23" s="110" t="s">
        <v>74</v>
      </c>
      <c r="E23" t="s">
        <v>75</v>
      </c>
      <c r="G23" s="115">
        <f>SUM(G15:G22)</f>
        <v>605000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A3AA-30C7-40EC-A879-ED8D56078906}">
  <dimension ref="A1:L37"/>
  <sheetViews>
    <sheetView topLeftCell="C1" workbookViewId="0">
      <selection activeCell="C2" sqref="A2:XFD7"/>
    </sheetView>
  </sheetViews>
  <sheetFormatPr defaultRowHeight="14.4"/>
  <cols>
    <col min="2" max="2" width="11.77734375" customWidth="1"/>
    <col min="3" max="3" width="24.44140625" customWidth="1"/>
    <col min="4" max="4" width="17" style="2" customWidth="1"/>
    <col min="5" max="5" width="19.33203125" style="2" customWidth="1"/>
    <col min="6" max="7" width="21.44140625" style="2" customWidth="1"/>
    <col min="8" max="8" width="22.109375" customWidth="1"/>
    <col min="9" max="9" width="20.44140625" customWidth="1"/>
    <col min="10" max="10" width="19.6640625" customWidth="1"/>
    <col min="11" max="11" width="25" customWidth="1"/>
    <col min="12" max="12" width="13.109375" customWidth="1"/>
    <col min="15" max="15" width="23.44140625" bestFit="1" customWidth="1"/>
    <col min="16" max="16" width="26.5546875" bestFit="1" customWidth="1"/>
  </cols>
  <sheetData>
    <row r="1" spans="1:12">
      <c r="A1" s="101" t="s">
        <v>76</v>
      </c>
      <c r="B1" s="126" t="s">
        <v>77</v>
      </c>
      <c r="C1" s="126" t="s">
        <v>78</v>
      </c>
      <c r="D1" s="126" t="s">
        <v>954</v>
      </c>
      <c r="E1" s="126" t="s">
        <v>955</v>
      </c>
      <c r="F1" s="126" t="s">
        <v>79</v>
      </c>
      <c r="G1" s="126" t="s">
        <v>957</v>
      </c>
      <c r="H1" s="126" t="s">
        <v>80</v>
      </c>
      <c r="I1" s="126" t="s">
        <v>81</v>
      </c>
      <c r="J1" s="126" t="s">
        <v>82</v>
      </c>
      <c r="K1" s="126" t="s">
        <v>83</v>
      </c>
      <c r="L1" s="126" t="s">
        <v>907</v>
      </c>
    </row>
    <row r="2" spans="1:12">
      <c r="A2" s="131">
        <v>1</v>
      </c>
      <c r="B2" s="125">
        <v>200000</v>
      </c>
      <c r="C2" s="135" t="s">
        <v>956</v>
      </c>
      <c r="D2" s="132">
        <v>10100</v>
      </c>
      <c r="E2" s="132">
        <v>8500</v>
      </c>
      <c r="F2" s="132">
        <v>9750</v>
      </c>
      <c r="G2" s="132">
        <v>16700</v>
      </c>
      <c r="H2" s="125">
        <v>0.25</v>
      </c>
      <c r="I2" s="125">
        <f t="shared" ref="I2:I3" si="0">B2*H2/100</f>
        <v>500</v>
      </c>
      <c r="J2" s="125">
        <f t="shared" ref="J2:J3" si="1">D2-F2</f>
        <v>350</v>
      </c>
      <c r="K2" s="125">
        <f t="shared" ref="K2:K3" si="2">IF(J2&gt;0,ROUND(I2/J2,0),0)</f>
        <v>1</v>
      </c>
      <c r="L2" s="2">
        <f t="shared" ref="L2:L6" si="3">D2*K2</f>
        <v>10100</v>
      </c>
    </row>
    <row r="3" spans="1:12">
      <c r="A3" s="125">
        <v>2</v>
      </c>
      <c r="B3" s="125">
        <v>200000</v>
      </c>
      <c r="C3" s="135" t="s">
        <v>953</v>
      </c>
      <c r="D3" s="125">
        <v>460</v>
      </c>
      <c r="E3" s="125">
        <v>390</v>
      </c>
      <c r="F3" s="125">
        <v>420</v>
      </c>
      <c r="G3" s="125">
        <v>650</v>
      </c>
      <c r="H3" s="125">
        <v>0.25</v>
      </c>
      <c r="I3" s="125">
        <f t="shared" si="0"/>
        <v>500</v>
      </c>
      <c r="J3" s="125">
        <f t="shared" si="1"/>
        <v>40</v>
      </c>
      <c r="K3" s="125">
        <f t="shared" si="2"/>
        <v>13</v>
      </c>
      <c r="L3" s="2">
        <f t="shared" si="3"/>
        <v>5980</v>
      </c>
    </row>
    <row r="4" spans="1:12">
      <c r="A4" s="125">
        <v>3</v>
      </c>
      <c r="B4" s="125">
        <v>200000</v>
      </c>
      <c r="C4" s="137" t="s">
        <v>958</v>
      </c>
      <c r="D4" s="133">
        <v>3700</v>
      </c>
      <c r="E4" s="133">
        <v>3300</v>
      </c>
      <c r="F4" s="133">
        <v>3450</v>
      </c>
      <c r="G4" s="133">
        <v>5400</v>
      </c>
      <c r="H4" s="125">
        <v>0.25</v>
      </c>
      <c r="I4" s="125">
        <f t="shared" ref="I4" si="4">B4*H4/100</f>
        <v>500</v>
      </c>
      <c r="J4" s="125">
        <f t="shared" ref="J4" si="5">D4-F4</f>
        <v>250</v>
      </c>
      <c r="K4" s="125">
        <f t="shared" ref="K4" si="6">IF(J4&gt;0,ROUND(I4/J4,0),0)</f>
        <v>2</v>
      </c>
      <c r="L4" s="2">
        <f t="shared" si="3"/>
        <v>7400</v>
      </c>
    </row>
    <row r="5" spans="1:12">
      <c r="A5" s="125">
        <v>4</v>
      </c>
      <c r="B5" s="125">
        <v>200000</v>
      </c>
      <c r="C5" s="137" t="s">
        <v>910</v>
      </c>
      <c r="D5" s="13">
        <v>3900</v>
      </c>
      <c r="E5" s="13">
        <v>3450</v>
      </c>
      <c r="F5" s="13">
        <v>3890</v>
      </c>
      <c r="G5" s="13">
        <v>4850</v>
      </c>
      <c r="H5" s="125">
        <v>0.25</v>
      </c>
      <c r="I5" s="125">
        <f t="shared" ref="I5:I32" si="7">B5*H5/100</f>
        <v>500</v>
      </c>
      <c r="J5" s="125">
        <f>D5-F5</f>
        <v>10</v>
      </c>
      <c r="K5" s="125">
        <f>IF(J5&gt;0,ROUND(I5/J5,0),0)</f>
        <v>50</v>
      </c>
      <c r="L5" s="2">
        <f t="shared" si="3"/>
        <v>195000</v>
      </c>
    </row>
    <row r="6" spans="1:12">
      <c r="A6" s="125">
        <v>5</v>
      </c>
      <c r="B6" s="125">
        <v>200000</v>
      </c>
      <c r="C6" s="134" t="s">
        <v>959</v>
      </c>
      <c r="D6" s="13">
        <v>1330</v>
      </c>
      <c r="E6" s="30">
        <v>1180</v>
      </c>
      <c r="F6" s="13">
        <v>1280</v>
      </c>
      <c r="G6" s="13">
        <v>1800</v>
      </c>
      <c r="H6" s="125">
        <v>0.25</v>
      </c>
      <c r="I6" s="125">
        <f t="shared" si="7"/>
        <v>500</v>
      </c>
      <c r="J6" s="125">
        <f>D6-F6</f>
        <v>50</v>
      </c>
      <c r="K6" s="125">
        <f>IF(J6&gt;0,ROUND(I6/J6,0),0)</f>
        <v>10</v>
      </c>
      <c r="L6" s="2">
        <f t="shared" si="3"/>
        <v>13300</v>
      </c>
    </row>
    <row r="7" spans="1:12">
      <c r="A7" s="125">
        <v>6</v>
      </c>
      <c r="B7" s="125">
        <v>200000</v>
      </c>
      <c r="C7" s="134" t="s">
        <v>220</v>
      </c>
      <c r="D7" s="125">
        <v>640</v>
      </c>
      <c r="E7" s="138">
        <v>540</v>
      </c>
      <c r="F7" s="125">
        <v>605</v>
      </c>
      <c r="G7" s="125">
        <v>1100</v>
      </c>
      <c r="H7" s="125">
        <v>0.25</v>
      </c>
      <c r="I7" s="125">
        <f t="shared" si="7"/>
        <v>500</v>
      </c>
      <c r="J7" s="125">
        <f>D7-F7</f>
        <v>35</v>
      </c>
      <c r="K7" s="125">
        <f>IF(J7&gt;0,ROUND(I7/J7,0),0)</f>
        <v>14</v>
      </c>
      <c r="L7" s="2">
        <f t="shared" ref="L7:L19" si="8">D7*K7</f>
        <v>8960</v>
      </c>
    </row>
    <row r="8" spans="1:12" ht="17.399999999999999" customHeight="1">
      <c r="A8" s="125">
        <v>1</v>
      </c>
      <c r="B8" s="125">
        <v>200000</v>
      </c>
      <c r="C8" s="136" t="s">
        <v>906</v>
      </c>
      <c r="D8" s="2">
        <v>3900</v>
      </c>
      <c r="E8" s="2">
        <v>3550</v>
      </c>
      <c r="F8" s="13">
        <v>3810</v>
      </c>
      <c r="G8" s="13">
        <v>5600</v>
      </c>
      <c r="H8" s="125">
        <v>0.25</v>
      </c>
      <c r="I8" s="125">
        <f t="shared" si="7"/>
        <v>500</v>
      </c>
      <c r="J8" s="125">
        <f t="shared" ref="J8:J36" si="9">D8-F8</f>
        <v>90</v>
      </c>
      <c r="K8" s="125">
        <f t="shared" ref="K8:K36" si="10">IF(J8&gt;0,ROUND(I8/J8,0),0)</f>
        <v>6</v>
      </c>
      <c r="L8" s="2">
        <f t="shared" si="8"/>
        <v>23400</v>
      </c>
    </row>
    <row r="9" spans="1:12" ht="17.399999999999999" customHeight="1">
      <c r="A9" s="125">
        <v>2</v>
      </c>
      <c r="B9" s="125">
        <v>200000</v>
      </c>
      <c r="C9" s="136" t="s">
        <v>960</v>
      </c>
      <c r="D9" s="2">
        <v>3400</v>
      </c>
      <c r="E9" s="2">
        <v>2850</v>
      </c>
      <c r="F9" s="13">
        <v>3280</v>
      </c>
      <c r="G9" s="13">
        <v>5200</v>
      </c>
      <c r="H9" s="125">
        <v>0.25</v>
      </c>
      <c r="I9" s="125">
        <f t="shared" si="7"/>
        <v>500</v>
      </c>
      <c r="J9" s="125">
        <f t="shared" ref="J9" si="11">D9-F9</f>
        <v>120</v>
      </c>
      <c r="K9" s="125">
        <f t="shared" ref="K9" si="12">IF(J9&gt;0,ROUND(I9/J9,0),0)</f>
        <v>4</v>
      </c>
      <c r="L9" s="2">
        <f t="shared" si="8"/>
        <v>13600</v>
      </c>
    </row>
    <row r="10" spans="1:12">
      <c r="A10" s="125">
        <v>3</v>
      </c>
      <c r="B10" s="125">
        <v>200000</v>
      </c>
      <c r="C10" s="136" t="s">
        <v>914</v>
      </c>
      <c r="D10" s="2">
        <v>2471.9</v>
      </c>
      <c r="E10" s="2">
        <v>2150</v>
      </c>
      <c r="F10" s="2">
        <v>2380</v>
      </c>
      <c r="G10" s="2">
        <v>3750</v>
      </c>
      <c r="H10" s="125">
        <v>0.25</v>
      </c>
      <c r="I10" s="125">
        <f t="shared" si="7"/>
        <v>500</v>
      </c>
      <c r="J10" s="125">
        <f>D10-F10</f>
        <v>91.900000000000091</v>
      </c>
      <c r="K10" s="125">
        <f>IF(J10&gt;0,ROUND(I10/J10,0),0)</f>
        <v>5</v>
      </c>
      <c r="L10" s="2">
        <f t="shared" si="8"/>
        <v>12359.5</v>
      </c>
    </row>
    <row r="11" spans="1:12" ht="17.399999999999999" customHeight="1">
      <c r="A11" s="125">
        <v>4</v>
      </c>
      <c r="B11" s="125">
        <v>200000</v>
      </c>
      <c r="C11" s="137" t="s">
        <v>961</v>
      </c>
      <c r="D11" s="13">
        <v>14650</v>
      </c>
      <c r="E11" s="30">
        <v>12900</v>
      </c>
      <c r="F11" s="13">
        <v>14400</v>
      </c>
      <c r="G11" s="13">
        <v>18500</v>
      </c>
      <c r="H11" s="125">
        <v>0.25</v>
      </c>
      <c r="I11" s="125">
        <f t="shared" si="7"/>
        <v>500</v>
      </c>
      <c r="J11" s="125">
        <f t="shared" ref="J11" si="13">D11-F11</f>
        <v>250</v>
      </c>
      <c r="K11" s="125">
        <f t="shared" ref="K11" si="14">IF(J11&gt;0,ROUND(I11/J11,0),0)</f>
        <v>2</v>
      </c>
      <c r="L11" s="2">
        <f t="shared" si="8"/>
        <v>29300</v>
      </c>
    </row>
    <row r="12" spans="1:12">
      <c r="A12" s="125">
        <v>5</v>
      </c>
      <c r="B12" s="125">
        <v>200000</v>
      </c>
      <c r="C12" s="137" t="s">
        <v>962</v>
      </c>
      <c r="D12" s="13">
        <v>1300</v>
      </c>
      <c r="E12" s="30">
        <v>1050</v>
      </c>
      <c r="F12" s="13">
        <v>1240</v>
      </c>
      <c r="G12" s="13">
        <v>2050</v>
      </c>
      <c r="H12" s="125">
        <v>0.25</v>
      </c>
      <c r="I12" s="125">
        <f t="shared" si="7"/>
        <v>500</v>
      </c>
      <c r="J12" s="125">
        <f t="shared" ref="J12" si="15">D12-F12</f>
        <v>60</v>
      </c>
      <c r="K12" s="125">
        <f t="shared" ref="K12" si="16">IF(J12&gt;0,ROUND(I12/J12,0),0)</f>
        <v>8</v>
      </c>
      <c r="L12" s="2">
        <f t="shared" si="8"/>
        <v>10400</v>
      </c>
    </row>
    <row r="13" spans="1:12">
      <c r="A13" s="125">
        <v>1</v>
      </c>
      <c r="B13" s="125">
        <v>200000</v>
      </c>
      <c r="C13" s="136" t="s">
        <v>963</v>
      </c>
      <c r="D13" s="13">
        <v>1385</v>
      </c>
      <c r="E13" s="13">
        <v>1280</v>
      </c>
      <c r="F13" s="13">
        <v>1380</v>
      </c>
      <c r="G13" s="13">
        <v>1950</v>
      </c>
      <c r="H13" s="125">
        <v>0.25</v>
      </c>
      <c r="I13" s="125">
        <f t="shared" si="7"/>
        <v>500</v>
      </c>
      <c r="J13" s="125">
        <f t="shared" ref="J13" si="17">D13-F13</f>
        <v>5</v>
      </c>
      <c r="K13" s="125">
        <f t="shared" ref="K13" si="18">IF(J13&gt;0,ROUND(I13/J13,0),0)</f>
        <v>100</v>
      </c>
      <c r="L13" s="2">
        <f t="shared" si="8"/>
        <v>138500</v>
      </c>
    </row>
    <row r="14" spans="1:12">
      <c r="A14" s="125">
        <v>2</v>
      </c>
      <c r="B14" s="125">
        <v>200000</v>
      </c>
      <c r="C14" s="136" t="s">
        <v>909</v>
      </c>
      <c r="D14" s="13">
        <v>4650</v>
      </c>
      <c r="E14" s="13">
        <v>4250</v>
      </c>
      <c r="F14" s="13">
        <v>4638</v>
      </c>
      <c r="G14" s="13">
        <v>5900</v>
      </c>
      <c r="H14" s="125">
        <v>0.25</v>
      </c>
      <c r="I14" s="125">
        <f t="shared" si="7"/>
        <v>500</v>
      </c>
      <c r="J14" s="125">
        <f>D14-F14</f>
        <v>12</v>
      </c>
      <c r="K14" s="125">
        <f>IF(J14&gt;0,ROUND(I14/J14,0),0)</f>
        <v>42</v>
      </c>
      <c r="L14" s="2">
        <f t="shared" si="8"/>
        <v>195300</v>
      </c>
    </row>
    <row r="15" spans="1:12">
      <c r="A15" s="125">
        <v>3</v>
      </c>
      <c r="B15" s="125">
        <v>200000</v>
      </c>
      <c r="C15" s="137" t="s">
        <v>964</v>
      </c>
      <c r="D15" s="13">
        <v>2000</v>
      </c>
      <c r="E15" s="13">
        <v>1900</v>
      </c>
      <c r="F15" s="13">
        <v>1995</v>
      </c>
      <c r="G15" s="13">
        <v>2800</v>
      </c>
      <c r="H15" s="125">
        <v>0.25</v>
      </c>
      <c r="I15" s="125">
        <f t="shared" si="7"/>
        <v>500</v>
      </c>
      <c r="J15" s="125">
        <f t="shared" ref="J15" si="19">D15-F15</f>
        <v>5</v>
      </c>
      <c r="K15" s="125">
        <f t="shared" ref="K15" si="20">IF(J15&gt;0,ROUND(I15/J15,0),0)</f>
        <v>100</v>
      </c>
      <c r="L15" s="2">
        <f t="shared" si="8"/>
        <v>200000</v>
      </c>
    </row>
    <row r="16" spans="1:12">
      <c r="A16" s="125">
        <v>4</v>
      </c>
      <c r="B16" s="125">
        <v>200000</v>
      </c>
      <c r="C16" s="134" t="s">
        <v>321</v>
      </c>
      <c r="D16" s="13">
        <v>3100</v>
      </c>
      <c r="E16" s="13">
        <v>2850</v>
      </c>
      <c r="F16" s="13">
        <v>3092</v>
      </c>
      <c r="G16" s="13">
        <v>4200</v>
      </c>
      <c r="H16" s="125">
        <v>0.25</v>
      </c>
      <c r="I16" s="125">
        <f t="shared" si="7"/>
        <v>500</v>
      </c>
      <c r="J16" s="125">
        <f t="shared" ref="J16:J23" si="21">D16-F16</f>
        <v>8</v>
      </c>
      <c r="K16" s="125">
        <f t="shared" ref="K16:K23" si="22">IF(J16&gt;0,ROUND(I16/J16,0),0)</f>
        <v>63</v>
      </c>
      <c r="L16" s="2">
        <f t="shared" si="8"/>
        <v>195300</v>
      </c>
    </row>
    <row r="17" spans="1:12">
      <c r="A17" s="125">
        <v>1</v>
      </c>
      <c r="B17" s="125">
        <v>200000</v>
      </c>
      <c r="C17" s="136" t="s">
        <v>904</v>
      </c>
      <c r="D17" s="13">
        <v>2550</v>
      </c>
      <c r="E17" s="13">
        <v>2380</v>
      </c>
      <c r="F17" s="13">
        <v>2350</v>
      </c>
      <c r="G17" s="13">
        <v>3850</v>
      </c>
      <c r="H17" s="125">
        <v>0.25</v>
      </c>
      <c r="I17" s="125">
        <f t="shared" si="7"/>
        <v>500</v>
      </c>
      <c r="J17" s="125">
        <f>D17-F17</f>
        <v>200</v>
      </c>
      <c r="K17" s="125">
        <f>IF(J17&gt;0,ROUND(I17/J17,0),0)</f>
        <v>3</v>
      </c>
      <c r="L17" s="2">
        <f t="shared" si="8"/>
        <v>7650</v>
      </c>
    </row>
    <row r="18" spans="1:12">
      <c r="A18" s="125">
        <v>2</v>
      </c>
      <c r="B18" s="125">
        <v>200000</v>
      </c>
      <c r="C18" s="137" t="s">
        <v>302</v>
      </c>
      <c r="D18" s="2">
        <v>370</v>
      </c>
      <c r="E18" s="2">
        <v>340</v>
      </c>
      <c r="F18" s="2">
        <v>330</v>
      </c>
      <c r="G18" s="2">
        <v>510</v>
      </c>
      <c r="H18" s="125">
        <v>0.25</v>
      </c>
      <c r="I18" s="125">
        <f t="shared" si="7"/>
        <v>500</v>
      </c>
      <c r="J18" s="125">
        <f>D18-F18</f>
        <v>40</v>
      </c>
      <c r="K18" s="125">
        <f>IF(J18&gt;0,ROUND(I18/J18,0),0)</f>
        <v>13</v>
      </c>
      <c r="L18" s="2">
        <f t="shared" si="8"/>
        <v>4810</v>
      </c>
    </row>
    <row r="19" spans="1:12">
      <c r="A19" s="125">
        <v>1</v>
      </c>
      <c r="B19" s="125">
        <v>200000</v>
      </c>
      <c r="C19" s="136" t="s">
        <v>159</v>
      </c>
      <c r="D19" s="2">
        <v>77</v>
      </c>
      <c r="E19" s="2">
        <v>68</v>
      </c>
      <c r="F19" s="2">
        <v>67</v>
      </c>
      <c r="G19" s="2">
        <v>145</v>
      </c>
      <c r="H19" s="125">
        <v>0.25</v>
      </c>
      <c r="I19" s="125">
        <f t="shared" si="7"/>
        <v>500</v>
      </c>
      <c r="J19" s="125">
        <f>D19-F19</f>
        <v>10</v>
      </c>
      <c r="K19" s="125">
        <f>IF(J19&gt;0,ROUND(I19/J19,0),0)</f>
        <v>50</v>
      </c>
      <c r="L19" s="2">
        <f t="shared" si="8"/>
        <v>3850</v>
      </c>
    </row>
    <row r="20" spans="1:12">
      <c r="A20" s="125">
        <v>2</v>
      </c>
      <c r="B20" s="125">
        <v>200000</v>
      </c>
      <c r="C20" s="136" t="s">
        <v>916</v>
      </c>
      <c r="D20" s="2">
        <v>540</v>
      </c>
      <c r="E20" s="2">
        <v>480</v>
      </c>
      <c r="F20" s="2">
        <v>478</v>
      </c>
      <c r="G20" s="2">
        <v>880</v>
      </c>
      <c r="H20" s="125">
        <v>0.25</v>
      </c>
      <c r="I20" s="125">
        <f t="shared" si="7"/>
        <v>500</v>
      </c>
      <c r="J20" s="125">
        <f>D20-F20</f>
        <v>62</v>
      </c>
      <c r="K20" s="125">
        <f>IF(J20&gt;0,ROUND(I20/J20,0),0)</f>
        <v>8</v>
      </c>
      <c r="L20" s="2">
        <f>D19*K20</f>
        <v>616</v>
      </c>
    </row>
    <row r="21" spans="1:12">
      <c r="A21" s="125">
        <v>3</v>
      </c>
      <c r="B21" s="125">
        <v>200000</v>
      </c>
      <c r="C21" s="137" t="s">
        <v>915</v>
      </c>
      <c r="D21" s="2">
        <v>530</v>
      </c>
      <c r="E21" s="2">
        <v>490</v>
      </c>
      <c r="F21" s="2">
        <v>489</v>
      </c>
      <c r="G21" s="2">
        <v>890</v>
      </c>
      <c r="H21" s="125">
        <v>0.25</v>
      </c>
      <c r="I21" s="125">
        <f t="shared" si="7"/>
        <v>500</v>
      </c>
      <c r="J21" s="125">
        <f>D21-F21</f>
        <v>41</v>
      </c>
      <c r="K21" s="125">
        <f>IF(J21&gt;0,ROUND(I21/J21,0),0)</f>
        <v>12</v>
      </c>
      <c r="L21" s="2">
        <f t="shared" ref="L21:L32" si="23">D21*K21</f>
        <v>6360</v>
      </c>
    </row>
    <row r="22" spans="1:12">
      <c r="A22" s="125">
        <v>4</v>
      </c>
      <c r="B22" s="125">
        <v>200000</v>
      </c>
      <c r="C22" s="137" t="s">
        <v>965</v>
      </c>
      <c r="D22" s="13">
        <v>1520</v>
      </c>
      <c r="E22" s="13">
        <v>1380</v>
      </c>
      <c r="F22" s="13">
        <v>1376</v>
      </c>
      <c r="G22" s="13">
        <v>2150</v>
      </c>
      <c r="H22" s="125">
        <v>0.25</v>
      </c>
      <c r="I22" s="125">
        <f t="shared" si="7"/>
        <v>500</v>
      </c>
      <c r="J22" s="125">
        <f t="shared" si="21"/>
        <v>144</v>
      </c>
      <c r="K22" s="125">
        <f t="shared" si="22"/>
        <v>3</v>
      </c>
      <c r="L22" s="2">
        <f t="shared" si="23"/>
        <v>4560</v>
      </c>
    </row>
    <row r="23" spans="1:12">
      <c r="A23" s="125">
        <v>1</v>
      </c>
      <c r="B23" s="125">
        <v>200000</v>
      </c>
      <c r="C23" s="136" t="s">
        <v>966</v>
      </c>
      <c r="D23" s="13">
        <v>1290</v>
      </c>
      <c r="E23" s="13">
        <v>1180</v>
      </c>
      <c r="F23" s="13">
        <v>1140</v>
      </c>
      <c r="G23" s="13">
        <v>1750</v>
      </c>
      <c r="H23" s="125">
        <v>0.25</v>
      </c>
      <c r="I23" s="125">
        <f t="shared" si="7"/>
        <v>500</v>
      </c>
      <c r="J23" s="125">
        <f t="shared" si="21"/>
        <v>150</v>
      </c>
      <c r="K23" s="125">
        <f t="shared" si="22"/>
        <v>3</v>
      </c>
      <c r="L23" s="2">
        <f t="shared" si="23"/>
        <v>3870</v>
      </c>
    </row>
    <row r="24" spans="1:12">
      <c r="A24" s="125">
        <v>2</v>
      </c>
      <c r="B24" s="125">
        <v>200000</v>
      </c>
      <c r="C24" s="136" t="s">
        <v>967</v>
      </c>
      <c r="D24" s="13">
        <v>1740</v>
      </c>
      <c r="E24" s="13">
        <v>1550</v>
      </c>
      <c r="F24" s="13">
        <v>1510</v>
      </c>
      <c r="G24" s="13">
        <v>2300</v>
      </c>
      <c r="H24" s="125">
        <v>0.25</v>
      </c>
      <c r="I24" s="125">
        <f t="shared" si="7"/>
        <v>500</v>
      </c>
      <c r="J24" s="125">
        <f t="shared" ref="J24" si="24">D24-F24</f>
        <v>230</v>
      </c>
      <c r="K24" s="125">
        <f t="shared" ref="K24" si="25">IF(J24&gt;0,ROUND(I24/J24,0),0)</f>
        <v>2</v>
      </c>
      <c r="L24" s="2">
        <f t="shared" si="23"/>
        <v>3480</v>
      </c>
    </row>
    <row r="25" spans="1:12">
      <c r="A25" s="125">
        <v>3</v>
      </c>
      <c r="B25" s="125">
        <v>200000</v>
      </c>
      <c r="C25" s="137" t="s">
        <v>968</v>
      </c>
      <c r="D25" s="2">
        <v>7750</v>
      </c>
      <c r="E25" s="2">
        <v>6800</v>
      </c>
      <c r="F25" s="2">
        <v>6650</v>
      </c>
      <c r="G25" s="2">
        <v>9500</v>
      </c>
      <c r="H25" s="125">
        <v>0.25</v>
      </c>
      <c r="I25" s="125">
        <f t="shared" si="7"/>
        <v>500</v>
      </c>
      <c r="J25" s="125">
        <f t="shared" ref="J25:J26" si="26">D25-F25</f>
        <v>1100</v>
      </c>
      <c r="K25" s="125">
        <f t="shared" ref="K25:K26" si="27">IF(J25&gt;0,ROUND(I25/J25,0),0)</f>
        <v>0</v>
      </c>
      <c r="L25" s="2">
        <f t="shared" si="23"/>
        <v>0</v>
      </c>
    </row>
    <row r="26" spans="1:12">
      <c r="A26" s="125">
        <v>4</v>
      </c>
      <c r="B26" s="125">
        <v>200000</v>
      </c>
      <c r="C26" s="137" t="s">
        <v>969</v>
      </c>
      <c r="D26" s="2">
        <v>5600</v>
      </c>
      <c r="E26" s="2">
        <v>5200</v>
      </c>
      <c r="F26" s="2">
        <v>4980</v>
      </c>
      <c r="G26" s="2">
        <v>7000</v>
      </c>
      <c r="H26" s="125">
        <v>0.25</v>
      </c>
      <c r="I26" s="125">
        <f t="shared" si="7"/>
        <v>500</v>
      </c>
      <c r="J26" s="125">
        <f t="shared" si="26"/>
        <v>620</v>
      </c>
      <c r="K26" s="125">
        <f t="shared" si="27"/>
        <v>1</v>
      </c>
      <c r="L26" s="2">
        <f t="shared" si="23"/>
        <v>5600</v>
      </c>
    </row>
    <row r="27" spans="1:12">
      <c r="A27" s="125">
        <v>5</v>
      </c>
      <c r="B27" s="125">
        <v>200000</v>
      </c>
      <c r="C27" s="137" t="s">
        <v>911</v>
      </c>
      <c r="D27" s="2">
        <v>370</v>
      </c>
      <c r="E27" s="119">
        <v>330</v>
      </c>
      <c r="F27" s="2">
        <v>315</v>
      </c>
      <c r="G27" s="2">
        <v>550</v>
      </c>
      <c r="H27" s="125">
        <v>0.25</v>
      </c>
      <c r="I27" s="125">
        <f t="shared" si="7"/>
        <v>500</v>
      </c>
      <c r="J27" s="125">
        <f t="shared" si="9"/>
        <v>55</v>
      </c>
      <c r="K27" s="125">
        <f t="shared" si="10"/>
        <v>9</v>
      </c>
      <c r="L27" s="2">
        <f t="shared" si="23"/>
        <v>3330</v>
      </c>
    </row>
    <row r="28" spans="1:12">
      <c r="A28" s="125">
        <v>1</v>
      </c>
      <c r="B28" s="125">
        <v>200000</v>
      </c>
      <c r="C28" s="136" t="s">
        <v>970</v>
      </c>
      <c r="D28" s="2">
        <v>1120</v>
      </c>
      <c r="E28" s="2">
        <v>1040</v>
      </c>
      <c r="F28" s="2">
        <v>1030</v>
      </c>
      <c r="G28" s="2">
        <v>1650</v>
      </c>
      <c r="H28" s="125">
        <v>0.25</v>
      </c>
      <c r="I28" s="125">
        <f t="shared" si="7"/>
        <v>500</v>
      </c>
      <c r="J28" s="125">
        <f t="shared" ref="J28" si="28">D28-F28</f>
        <v>90</v>
      </c>
      <c r="K28" s="125">
        <f t="shared" ref="K28" si="29">IF(J28&gt;0,ROUND(I28/J28,0),0)</f>
        <v>6</v>
      </c>
      <c r="L28" s="2">
        <f t="shared" si="23"/>
        <v>6720</v>
      </c>
    </row>
    <row r="29" spans="1:12">
      <c r="A29" s="125">
        <v>2</v>
      </c>
      <c r="B29" s="125">
        <v>200000</v>
      </c>
      <c r="C29" s="137" t="s">
        <v>912</v>
      </c>
      <c r="D29" s="2">
        <v>480</v>
      </c>
      <c r="E29" s="2">
        <v>465</v>
      </c>
      <c r="F29" s="2">
        <v>460</v>
      </c>
      <c r="G29" s="2">
        <v>680</v>
      </c>
      <c r="H29" s="125">
        <v>0.25</v>
      </c>
      <c r="I29" s="125">
        <f t="shared" si="7"/>
        <v>500</v>
      </c>
      <c r="J29" s="125">
        <f t="shared" si="9"/>
        <v>20</v>
      </c>
      <c r="K29" s="125">
        <f t="shared" si="10"/>
        <v>25</v>
      </c>
      <c r="L29" s="2">
        <f t="shared" si="23"/>
        <v>12000</v>
      </c>
    </row>
    <row r="30" spans="1:12">
      <c r="A30" s="125">
        <v>3</v>
      </c>
      <c r="B30" s="125">
        <v>200000</v>
      </c>
      <c r="C30" s="139" t="s">
        <v>253</v>
      </c>
      <c r="D30" s="2">
        <v>418</v>
      </c>
      <c r="E30" s="119">
        <v>370</v>
      </c>
      <c r="F30" s="2">
        <v>360</v>
      </c>
      <c r="G30" s="2">
        <v>580</v>
      </c>
      <c r="H30" s="125">
        <v>0.25</v>
      </c>
      <c r="I30" s="125">
        <f t="shared" si="7"/>
        <v>500</v>
      </c>
      <c r="J30" s="125">
        <f t="shared" si="9"/>
        <v>58</v>
      </c>
      <c r="K30" s="125">
        <f t="shared" si="10"/>
        <v>9</v>
      </c>
      <c r="L30" s="2">
        <f t="shared" si="23"/>
        <v>3762</v>
      </c>
    </row>
    <row r="31" spans="1:12">
      <c r="A31" s="125">
        <v>1</v>
      </c>
      <c r="B31" s="125">
        <v>200000</v>
      </c>
      <c r="C31" s="136" t="s">
        <v>913</v>
      </c>
      <c r="D31" s="15">
        <v>1500</v>
      </c>
      <c r="E31" s="15">
        <v>1380</v>
      </c>
      <c r="F31" s="2">
        <v>1365</v>
      </c>
      <c r="G31" s="2">
        <v>2250</v>
      </c>
      <c r="H31" s="125">
        <v>0.25</v>
      </c>
      <c r="I31" s="125">
        <f t="shared" si="7"/>
        <v>500</v>
      </c>
      <c r="J31" s="125">
        <f t="shared" si="9"/>
        <v>135</v>
      </c>
      <c r="K31" s="125">
        <f t="shared" si="10"/>
        <v>4</v>
      </c>
      <c r="L31" s="2">
        <f t="shared" si="23"/>
        <v>6000</v>
      </c>
    </row>
    <row r="32" spans="1:12">
      <c r="A32" s="125">
        <v>2</v>
      </c>
      <c r="B32" s="125">
        <v>200000</v>
      </c>
      <c r="C32" s="136" t="s">
        <v>917</v>
      </c>
      <c r="D32" s="2">
        <v>385</v>
      </c>
      <c r="E32" s="2">
        <v>340</v>
      </c>
      <c r="F32" s="2">
        <v>335</v>
      </c>
      <c r="G32" s="2">
        <v>620</v>
      </c>
      <c r="H32" s="125">
        <v>0.25</v>
      </c>
      <c r="I32" s="125">
        <f t="shared" si="7"/>
        <v>500</v>
      </c>
      <c r="J32" s="125">
        <f t="shared" si="9"/>
        <v>50</v>
      </c>
      <c r="K32" s="125">
        <f t="shared" si="10"/>
        <v>10</v>
      </c>
      <c r="L32" s="2">
        <f t="shared" si="23"/>
        <v>3850</v>
      </c>
    </row>
    <row r="33" spans="1:12">
      <c r="A33" s="125">
        <v>3</v>
      </c>
      <c r="B33" s="125">
        <v>200000</v>
      </c>
      <c r="C33" s="139" t="s">
        <v>971</v>
      </c>
      <c r="D33" s="2">
        <v>1280</v>
      </c>
      <c r="E33" s="2">
        <v>1150</v>
      </c>
      <c r="F33" s="2">
        <v>1135</v>
      </c>
      <c r="G33" s="2">
        <v>1950</v>
      </c>
      <c r="H33" s="125"/>
      <c r="I33" s="125"/>
      <c r="J33" s="125">
        <f t="shared" si="9"/>
        <v>145</v>
      </c>
      <c r="K33" s="125"/>
      <c r="L33" s="2"/>
    </row>
    <row r="34" spans="1:12" ht="28.8">
      <c r="A34" s="125">
        <v>19</v>
      </c>
      <c r="B34" s="125">
        <v>200000</v>
      </c>
      <c r="C34" s="136" t="s">
        <v>972</v>
      </c>
      <c r="D34" s="13">
        <v>2710</v>
      </c>
      <c r="E34" s="13">
        <v>2450</v>
      </c>
      <c r="F34" s="13">
        <v>2444</v>
      </c>
      <c r="G34" s="13">
        <v>3500</v>
      </c>
      <c r="H34" s="125">
        <v>0.25</v>
      </c>
      <c r="I34" s="125">
        <f>B34*H34/100</f>
        <v>500</v>
      </c>
      <c r="J34" s="125">
        <f t="shared" si="9"/>
        <v>266</v>
      </c>
      <c r="K34" s="125">
        <f t="shared" si="10"/>
        <v>2</v>
      </c>
      <c r="L34" s="2">
        <f>D34*K34</f>
        <v>5420</v>
      </c>
    </row>
    <row r="35" spans="1:12">
      <c r="A35" s="125">
        <v>22</v>
      </c>
      <c r="B35" s="125">
        <v>200000</v>
      </c>
      <c r="C35" s="136" t="s">
        <v>973</v>
      </c>
      <c r="D35" s="2">
        <v>850</v>
      </c>
      <c r="E35" s="2">
        <v>820</v>
      </c>
      <c r="F35" s="2">
        <v>818</v>
      </c>
      <c r="G35" s="2">
        <v>1850</v>
      </c>
      <c r="H35" s="125">
        <v>0.25</v>
      </c>
      <c r="I35" s="125">
        <f>B35*H35/100</f>
        <v>500</v>
      </c>
      <c r="J35" s="125">
        <f t="shared" si="9"/>
        <v>32</v>
      </c>
      <c r="K35" s="125">
        <f t="shared" si="10"/>
        <v>16</v>
      </c>
      <c r="L35" s="2">
        <f>D35*K35</f>
        <v>13600</v>
      </c>
    </row>
    <row r="36" spans="1:12">
      <c r="A36" s="125">
        <v>24</v>
      </c>
      <c r="B36" s="125">
        <v>200000</v>
      </c>
      <c r="C36" s="139" t="s">
        <v>974</v>
      </c>
      <c r="D36" s="2">
        <v>235</v>
      </c>
      <c r="E36" s="119">
        <v>218</v>
      </c>
      <c r="F36" s="2">
        <v>217</v>
      </c>
      <c r="G36" s="2">
        <v>450</v>
      </c>
      <c r="H36" s="125">
        <v>0.25</v>
      </c>
      <c r="I36" s="125">
        <f>B36*H36/100</f>
        <v>500</v>
      </c>
      <c r="J36" s="125">
        <f t="shared" si="9"/>
        <v>18</v>
      </c>
      <c r="K36" s="125">
        <f t="shared" si="10"/>
        <v>28</v>
      </c>
      <c r="L36" s="2">
        <f>D36*K36</f>
        <v>6580</v>
      </c>
    </row>
    <row r="37" spans="1:12">
      <c r="B37" s="2" t="s">
        <v>908</v>
      </c>
      <c r="C37" s="2"/>
      <c r="H37" s="2"/>
      <c r="I37" s="2"/>
      <c r="J37" s="2"/>
      <c r="K37" s="2"/>
      <c r="L37" s="119">
        <f>SUM(L2:L35)</f>
        <v>1154377.5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EDA5-9313-4CF2-8D24-5D9F58F9689B}">
  <dimension ref="B3:S80"/>
  <sheetViews>
    <sheetView workbookViewId="0">
      <selection activeCell="R17" sqref="R17"/>
    </sheetView>
  </sheetViews>
  <sheetFormatPr defaultRowHeight="14.4"/>
  <cols>
    <col min="18" max="18" width="22.6640625" bestFit="1" customWidth="1"/>
    <col min="19" max="19" width="24.77734375" bestFit="1" customWidth="1"/>
  </cols>
  <sheetData>
    <row r="3" spans="2:19">
      <c r="B3" s="127" t="s">
        <v>918</v>
      </c>
      <c r="R3" s="106" t="s">
        <v>4</v>
      </c>
      <c r="S3" s="107" t="s">
        <v>5</v>
      </c>
    </row>
    <row r="4" spans="2:19">
      <c r="B4" s="127" t="s">
        <v>919</v>
      </c>
      <c r="R4" s="104" t="s">
        <v>9</v>
      </c>
      <c r="S4" s="103" t="s">
        <v>10</v>
      </c>
    </row>
    <row r="5" spans="2:19">
      <c r="B5" s="128" t="s">
        <v>920</v>
      </c>
      <c r="R5" s="105" t="s">
        <v>14</v>
      </c>
      <c r="S5" s="102" t="s">
        <v>15</v>
      </c>
    </row>
    <row r="6" spans="2:19">
      <c r="B6" s="129" t="s">
        <v>921</v>
      </c>
      <c r="R6" s="105" t="s">
        <v>19</v>
      </c>
      <c r="S6" s="102" t="s">
        <v>20</v>
      </c>
    </row>
    <row r="7" spans="2:19">
      <c r="B7" s="129" t="s">
        <v>922</v>
      </c>
      <c r="R7" s="105" t="s">
        <v>23</v>
      </c>
      <c r="S7" s="102" t="s">
        <v>24</v>
      </c>
    </row>
    <row r="8" spans="2:19">
      <c r="B8" s="129" t="s">
        <v>923</v>
      </c>
      <c r="R8" s="105" t="s">
        <v>28</v>
      </c>
      <c r="S8" s="102" t="s">
        <v>29</v>
      </c>
    </row>
    <row r="9" spans="2:19">
      <c r="B9" s="129" t="s">
        <v>924</v>
      </c>
      <c r="R9" s="105" t="s">
        <v>32</v>
      </c>
      <c r="S9" s="102" t="s">
        <v>33</v>
      </c>
    </row>
    <row r="10" spans="2:19">
      <c r="B10" s="129" t="s">
        <v>925</v>
      </c>
      <c r="R10" s="108" t="s">
        <v>36</v>
      </c>
      <c r="S10" s="109" t="s">
        <v>37</v>
      </c>
    </row>
    <row r="11" spans="2:19">
      <c r="B11" s="129"/>
    </row>
    <row r="12" spans="2:19">
      <c r="B12" s="127" t="s">
        <v>926</v>
      </c>
    </row>
    <row r="13" spans="2:19">
      <c r="B13" s="127" t="s">
        <v>927</v>
      </c>
    </row>
    <row r="14" spans="2:19">
      <c r="B14" s="128" t="s">
        <v>928</v>
      </c>
    </row>
    <row r="15" spans="2:19">
      <c r="B15" s="129" t="s">
        <v>929</v>
      </c>
    </row>
    <row r="16" spans="2:19">
      <c r="B16" s="129" t="s">
        <v>930</v>
      </c>
    </row>
    <row r="17" spans="2:2">
      <c r="B17" s="129" t="s">
        <v>931</v>
      </c>
    </row>
    <row r="18" spans="2:2">
      <c r="B18" s="129" t="s">
        <v>932</v>
      </c>
    </row>
    <row r="19" spans="2:2">
      <c r="B19" s="129"/>
    </row>
    <row r="20" spans="2:2">
      <c r="B20" s="127" t="s">
        <v>933</v>
      </c>
    </row>
    <row r="21" spans="2:2">
      <c r="B21" s="127" t="s">
        <v>934</v>
      </c>
    </row>
    <row r="22" spans="2:2">
      <c r="B22" s="128" t="s">
        <v>935</v>
      </c>
    </row>
    <row r="23" spans="2:2">
      <c r="B23" s="129" t="s">
        <v>936</v>
      </c>
    </row>
    <row r="24" spans="2:2">
      <c r="B24" s="129" t="s">
        <v>937</v>
      </c>
    </row>
    <row r="25" spans="2:2">
      <c r="B25" s="129" t="s">
        <v>938</v>
      </c>
    </row>
    <row r="26" spans="2:2">
      <c r="B26" s="129" t="s">
        <v>939</v>
      </c>
    </row>
    <row r="27" spans="2:2">
      <c r="B27" s="129"/>
    </row>
    <row r="28" spans="2:2">
      <c r="B28" s="127" t="s">
        <v>940</v>
      </c>
    </row>
    <row r="29" spans="2:2">
      <c r="B29" s="127" t="s">
        <v>941</v>
      </c>
    </row>
    <row r="30" spans="2:2">
      <c r="B30" s="128" t="s">
        <v>942</v>
      </c>
    </row>
    <row r="31" spans="2:2">
      <c r="B31" s="129" t="s">
        <v>943</v>
      </c>
    </row>
    <row r="32" spans="2:2">
      <c r="B32" s="129" t="s">
        <v>944</v>
      </c>
    </row>
    <row r="33" spans="2:2">
      <c r="B33" s="129" t="s">
        <v>945</v>
      </c>
    </row>
    <row r="34" spans="2:2">
      <c r="B34" s="129" t="s">
        <v>946</v>
      </c>
    </row>
    <row r="35" spans="2:2">
      <c r="B35" s="129" t="s">
        <v>947</v>
      </c>
    </row>
    <row r="36" spans="2:2">
      <c r="B36" s="130" t="s">
        <v>948</v>
      </c>
    </row>
    <row r="37" spans="2:2">
      <c r="B37" s="130" t="s">
        <v>949</v>
      </c>
    </row>
    <row r="38" spans="2:2">
      <c r="B38" s="130" t="s">
        <v>950</v>
      </c>
    </row>
    <row r="39" spans="2:2">
      <c r="B39" s="130" t="s">
        <v>951</v>
      </c>
    </row>
    <row r="40" spans="2:2">
      <c r="B40" s="130" t="s">
        <v>952</v>
      </c>
    </row>
    <row r="41" spans="2:2">
      <c r="B41" s="123"/>
    </row>
    <row r="42" spans="2:2">
      <c r="B42" s="124"/>
    </row>
    <row r="43" spans="2:2">
      <c r="B43" s="123"/>
    </row>
    <row r="44" spans="2:2">
      <c r="B44" s="124"/>
    </row>
    <row r="48" spans="2:2" ht="18">
      <c r="B48" s="122"/>
    </row>
    <row r="51" spans="2:2">
      <c r="B51" s="123"/>
    </row>
    <row r="52" spans="2:2">
      <c r="B52" s="124"/>
    </row>
    <row r="53" spans="2:2">
      <c r="B53" s="123"/>
    </row>
    <row r="54" spans="2:2">
      <c r="B54" s="124"/>
    </row>
    <row r="55" spans="2:2">
      <c r="B55" s="123"/>
    </row>
    <row r="56" spans="2:2">
      <c r="B56" s="124"/>
    </row>
    <row r="60" spans="2:2" ht="18">
      <c r="B60" s="122"/>
    </row>
    <row r="63" spans="2:2">
      <c r="B63" s="123"/>
    </row>
    <row r="64" spans="2:2">
      <c r="B64" s="124"/>
    </row>
    <row r="65" spans="2:2">
      <c r="B65" s="123"/>
    </row>
    <row r="66" spans="2:2">
      <c r="B66" s="124"/>
    </row>
    <row r="67" spans="2:2">
      <c r="B67" s="123"/>
    </row>
    <row r="68" spans="2:2">
      <c r="B68" s="124"/>
    </row>
    <row r="70" spans="2:2" ht="18">
      <c r="B70" s="122"/>
    </row>
    <row r="71" spans="2:2">
      <c r="B71" s="123"/>
    </row>
    <row r="72" spans="2:2">
      <c r="B72" s="124"/>
    </row>
    <row r="73" spans="2:2">
      <c r="B73" s="123"/>
    </row>
    <row r="74" spans="2:2">
      <c r="B74" s="124"/>
    </row>
    <row r="75" spans="2:2">
      <c r="B75" s="123"/>
    </row>
    <row r="76" spans="2:2">
      <c r="B76" s="124"/>
    </row>
    <row r="77" spans="2:2">
      <c r="B77" s="123"/>
    </row>
    <row r="78" spans="2:2">
      <c r="B78" s="124"/>
    </row>
    <row r="79" spans="2:2">
      <c r="B79" s="123"/>
    </row>
    <row r="80" spans="2:2">
      <c r="B80" s="12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0F519-751D-4E48-BF81-F54B0C44E0EE}">
  <dimension ref="A1:E27"/>
  <sheetViews>
    <sheetView workbookViewId="0">
      <selection activeCell="B17" sqref="B17"/>
    </sheetView>
  </sheetViews>
  <sheetFormatPr defaultRowHeight="14.4"/>
  <cols>
    <col min="2" max="2" width="33.33203125" customWidth="1"/>
    <col min="3" max="3" width="101.33203125" customWidth="1"/>
    <col min="4" max="4" width="61" customWidth="1"/>
    <col min="5" max="5" width="37" customWidth="1"/>
  </cols>
  <sheetData>
    <row r="1" spans="1:3">
      <c r="B1" s="10" t="s">
        <v>84</v>
      </c>
    </row>
    <row r="2" spans="1:3">
      <c r="B2" s="4" t="s">
        <v>85</v>
      </c>
      <c r="C2" s="1" t="s">
        <v>86</v>
      </c>
    </row>
    <row r="3" spans="1:3">
      <c r="C3" s="1"/>
    </row>
    <row r="4" spans="1:3">
      <c r="B4" t="s">
        <v>87</v>
      </c>
    </row>
    <row r="5" spans="1:3" ht="15">
      <c r="B5" s="100"/>
    </row>
    <row r="8" spans="1:3">
      <c r="C8" s="1"/>
    </row>
    <row r="9" spans="1:3">
      <c r="A9">
        <v>1</v>
      </c>
      <c r="B9" t="s">
        <v>88</v>
      </c>
      <c r="C9" s="1" t="s">
        <v>89</v>
      </c>
    </row>
    <row r="10" spans="1:3" ht="43.2">
      <c r="A10">
        <v>2</v>
      </c>
      <c r="B10" t="s">
        <v>90</v>
      </c>
      <c r="C10" s="1" t="s">
        <v>91</v>
      </c>
    </row>
    <row r="11" spans="1:3">
      <c r="B11" t="s">
        <v>92</v>
      </c>
      <c r="C11" s="1"/>
    </row>
    <row r="12" spans="1:3">
      <c r="B12" t="s">
        <v>93</v>
      </c>
      <c r="C12" s="1"/>
    </row>
    <row r="13" spans="1:3">
      <c r="B13" t="s">
        <v>94</v>
      </c>
      <c r="C13" s="1"/>
    </row>
    <row r="14" spans="1:3">
      <c r="B14" t="s">
        <v>95</v>
      </c>
      <c r="C14" s="1"/>
    </row>
    <row r="15" spans="1:3">
      <c r="B15" t="s">
        <v>96</v>
      </c>
      <c r="C15" s="1"/>
    </row>
    <row r="16" spans="1:3">
      <c r="B16" t="s">
        <v>97</v>
      </c>
      <c r="C16" s="1"/>
    </row>
    <row r="17" spans="2:5" ht="43.2">
      <c r="B17" t="s">
        <v>98</v>
      </c>
      <c r="C17" s="1" t="s">
        <v>99</v>
      </c>
    </row>
    <row r="18" spans="2:5" ht="43.2">
      <c r="B18" t="s">
        <v>100</v>
      </c>
      <c r="C18" s="1" t="s">
        <v>101</v>
      </c>
    </row>
    <row r="19" spans="2:5" ht="28.8">
      <c r="B19" t="s">
        <v>102</v>
      </c>
      <c r="C19" s="1" t="s">
        <v>103</v>
      </c>
    </row>
    <row r="20" spans="2:5">
      <c r="B20" t="s">
        <v>104</v>
      </c>
      <c r="C20" s="1" t="s">
        <v>105</v>
      </c>
    </row>
    <row r="21" spans="2:5" ht="28.8">
      <c r="B21" t="s">
        <v>106</v>
      </c>
      <c r="C21" s="1" t="s">
        <v>107</v>
      </c>
    </row>
    <row r="22" spans="2:5">
      <c r="B22" s="10" t="s">
        <v>108</v>
      </c>
      <c r="C22" s="1"/>
    </row>
    <row r="23" spans="2:5">
      <c r="C23" t="s">
        <v>109</v>
      </c>
    </row>
    <row r="24" spans="2:5">
      <c r="C24" t="s">
        <v>110</v>
      </c>
    </row>
    <row r="25" spans="2:5">
      <c r="C25" s="1" t="s">
        <v>111</v>
      </c>
    </row>
    <row r="26" spans="2:5" ht="115.2">
      <c r="C26" s="1" t="s">
        <v>112</v>
      </c>
      <c r="D26" s="1" t="s">
        <v>113</v>
      </c>
      <c r="E26" s="1" t="s">
        <v>114</v>
      </c>
    </row>
    <row r="27" spans="2:5">
      <c r="C27" s="1" t="s">
        <v>115</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4217-9B7C-44AD-AD37-CD522F5364AF}">
  <dimension ref="A1:AI655"/>
  <sheetViews>
    <sheetView zoomScale="110" zoomScaleNormal="110" workbookViewId="0">
      <pane ySplit="2" topLeftCell="A320" activePane="bottomLeft" state="frozen"/>
      <selection pane="bottomLeft" activeCell="E279" sqref="E279"/>
    </sheetView>
  </sheetViews>
  <sheetFormatPr defaultRowHeight="14.4"/>
  <cols>
    <col min="1" max="1" width="15.6640625" customWidth="1"/>
    <col min="2" max="2" width="4.88671875" style="2" customWidth="1"/>
    <col min="3" max="3" width="25.88671875" customWidth="1"/>
    <col min="4" max="4" width="7.33203125" style="2" customWidth="1"/>
    <col min="5" max="5" width="8.109375" style="53" customWidth="1"/>
    <col min="6" max="6" width="8.88671875" style="2"/>
    <col min="7" max="7" width="9.5546875" style="2" bestFit="1" customWidth="1"/>
    <col min="8" max="8" width="8.88671875" style="15"/>
    <col min="9" max="9" width="9.33203125" style="2" bestFit="1" customWidth="1"/>
    <col min="10" max="10" width="8.88671875" style="2"/>
    <col min="11" max="11" width="9.44140625" style="17" bestFit="1" customWidth="1"/>
    <col min="12" max="12" width="9.33203125" style="2" customWidth="1"/>
    <col min="13" max="13" width="8.88671875" style="2"/>
    <col min="14" max="14" width="9.109375" style="2"/>
    <col min="15" max="15" width="10" style="2" customWidth="1"/>
    <col min="16" max="16" width="8.88671875" style="2"/>
    <col min="17" max="17" width="10.33203125" style="2" bestFit="1" customWidth="1"/>
    <col min="18" max="18" width="10.33203125" bestFit="1" customWidth="1"/>
    <col min="21" max="21" width="10.33203125" style="2" bestFit="1" customWidth="1"/>
    <col min="22" max="22" width="9.109375" style="2"/>
  </cols>
  <sheetData>
    <row r="1" spans="1:23">
      <c r="A1" s="56"/>
      <c r="B1" s="57"/>
      <c r="C1" s="58"/>
      <c r="D1" s="57"/>
      <c r="E1" s="59"/>
      <c r="F1" s="57"/>
      <c r="G1" s="57"/>
      <c r="H1" s="60"/>
      <c r="I1" s="57"/>
      <c r="J1" s="57"/>
      <c r="K1" s="61"/>
      <c r="L1" s="57"/>
      <c r="M1" s="62"/>
      <c r="O1" s="140" t="s">
        <v>116</v>
      </c>
      <c r="P1" s="140"/>
      <c r="Q1" s="140"/>
      <c r="R1" s="140" t="s">
        <v>117</v>
      </c>
      <c r="S1" s="140"/>
      <c r="T1" s="140"/>
      <c r="U1" s="140" t="s">
        <v>118</v>
      </c>
      <c r="V1" s="140"/>
      <c r="W1" s="140"/>
    </row>
    <row r="2" spans="1:23">
      <c r="A2" s="63" t="s">
        <v>119</v>
      </c>
      <c r="C2" s="119" t="s">
        <v>120</v>
      </c>
      <c r="D2" s="119" t="s">
        <v>121</v>
      </c>
      <c r="E2" s="64" t="s">
        <v>122</v>
      </c>
      <c r="F2" s="119" t="s">
        <v>123</v>
      </c>
      <c r="G2" s="119" t="s">
        <v>124</v>
      </c>
      <c r="H2" s="65" t="s">
        <v>125</v>
      </c>
      <c r="I2" s="119" t="s">
        <v>126</v>
      </c>
      <c r="J2" s="119" t="s">
        <v>127</v>
      </c>
      <c r="K2" s="66" t="s">
        <v>128</v>
      </c>
      <c r="L2" s="119" t="s">
        <v>129</v>
      </c>
      <c r="M2" s="67" t="s">
        <v>128</v>
      </c>
      <c r="N2" s="119"/>
    </row>
    <row r="3" spans="1:23">
      <c r="A3" s="68" t="s">
        <v>130</v>
      </c>
      <c r="B3" s="27"/>
      <c r="C3" s="26"/>
      <c r="D3" s="27"/>
      <c r="E3" s="54"/>
      <c r="F3" s="27"/>
      <c r="G3" s="27"/>
      <c r="H3" s="51"/>
      <c r="I3" s="27"/>
      <c r="J3" s="27"/>
      <c r="K3" s="29"/>
      <c r="L3" s="27"/>
      <c r="M3" s="69"/>
      <c r="O3" s="38">
        <v>45183</v>
      </c>
      <c r="P3" s="2">
        <v>10000</v>
      </c>
      <c r="R3" s="18">
        <v>45522</v>
      </c>
      <c r="S3" s="2">
        <v>55000</v>
      </c>
      <c r="U3" s="38">
        <v>45304</v>
      </c>
      <c r="V3" s="2">
        <v>1960</v>
      </c>
    </row>
    <row r="4" spans="1:23">
      <c r="A4" s="70" t="s">
        <v>131</v>
      </c>
      <c r="B4" s="2" t="s">
        <v>132</v>
      </c>
      <c r="C4" t="s">
        <v>133</v>
      </c>
      <c r="D4" s="38">
        <v>45183</v>
      </c>
      <c r="E4" s="53">
        <v>80</v>
      </c>
      <c r="F4" s="2">
        <v>100</v>
      </c>
      <c r="G4" s="13">
        <f t="shared" ref="G4:G6" si="0">E4*F4</f>
        <v>8000</v>
      </c>
      <c r="M4" s="69"/>
      <c r="O4" s="38">
        <v>45183</v>
      </c>
      <c r="P4" s="2">
        <v>15000</v>
      </c>
      <c r="R4" s="18">
        <v>45523</v>
      </c>
      <c r="S4" s="2">
        <v>22036</v>
      </c>
      <c r="U4" s="38">
        <v>45306</v>
      </c>
      <c r="V4" s="2">
        <v>150000</v>
      </c>
    </row>
    <row r="5" spans="1:23">
      <c r="A5" s="70"/>
      <c r="B5" s="2" t="s">
        <v>132</v>
      </c>
      <c r="C5" t="s">
        <v>133</v>
      </c>
      <c r="D5" s="38">
        <v>45208</v>
      </c>
      <c r="E5" s="53">
        <v>72.400000000000006</v>
      </c>
      <c r="F5" s="2">
        <v>10</v>
      </c>
      <c r="G5" s="13">
        <f t="shared" si="0"/>
        <v>724</v>
      </c>
      <c r="M5" s="69"/>
      <c r="O5" s="38">
        <v>45206</v>
      </c>
      <c r="P5" s="2">
        <v>20000</v>
      </c>
      <c r="R5" s="18">
        <v>45529</v>
      </c>
      <c r="S5" s="2">
        <v>30000</v>
      </c>
      <c r="U5" s="38">
        <v>45307</v>
      </c>
      <c r="V5" s="2">
        <v>25000</v>
      </c>
    </row>
    <row r="6" spans="1:23">
      <c r="A6" s="70"/>
      <c r="B6" s="2" t="s">
        <v>132</v>
      </c>
      <c r="C6" t="s">
        <v>133</v>
      </c>
      <c r="D6" s="38">
        <v>45209</v>
      </c>
      <c r="E6" s="53">
        <v>71.400000000000006</v>
      </c>
      <c r="F6" s="2">
        <v>1</v>
      </c>
      <c r="G6" s="13">
        <f t="shared" si="0"/>
        <v>71.400000000000006</v>
      </c>
      <c r="M6" s="69"/>
      <c r="O6" s="38">
        <v>45217</v>
      </c>
      <c r="P6" s="2">
        <v>5000</v>
      </c>
      <c r="R6" s="18">
        <v>45544</v>
      </c>
      <c r="T6">
        <v>15690</v>
      </c>
      <c r="U6" s="38">
        <v>45309</v>
      </c>
      <c r="V6" s="2">
        <v>30000</v>
      </c>
    </row>
    <row r="7" spans="1:23">
      <c r="A7" s="70"/>
      <c r="B7" s="2" t="s">
        <v>132</v>
      </c>
      <c r="C7" s="77" t="s">
        <v>133</v>
      </c>
      <c r="D7" s="38">
        <v>45302</v>
      </c>
      <c r="E7" s="53">
        <v>107.8</v>
      </c>
      <c r="F7" s="2">
        <v>111</v>
      </c>
      <c r="G7" s="13"/>
      <c r="H7" s="15">
        <f>I7/F7</f>
        <v>107.8</v>
      </c>
      <c r="I7" s="2">
        <f>E7*F7</f>
        <v>11965.8</v>
      </c>
      <c r="K7" s="72">
        <f>I7-SUM(G4:G6)</f>
        <v>3170.3999999999996</v>
      </c>
      <c r="M7" s="73">
        <f>(SUM(K7)/SUM(G4:G6))</f>
        <v>0.36046115014666757</v>
      </c>
      <c r="O7" s="38">
        <v>45236</v>
      </c>
      <c r="P7" s="2">
        <v>20000</v>
      </c>
      <c r="R7" s="18">
        <v>45549</v>
      </c>
      <c r="S7" s="2">
        <v>34000</v>
      </c>
      <c r="U7" s="38">
        <v>45311</v>
      </c>
      <c r="V7" s="2">
        <v>40000</v>
      </c>
    </row>
    <row r="8" spans="1:23">
      <c r="A8" s="70"/>
      <c r="B8" s="2" t="s">
        <v>134</v>
      </c>
      <c r="C8" t="s">
        <v>133</v>
      </c>
      <c r="D8" s="38">
        <v>45307</v>
      </c>
      <c r="E8" s="53">
        <v>143</v>
      </c>
      <c r="F8" s="2">
        <v>5</v>
      </c>
      <c r="G8" s="13">
        <f>E8*F8+20</f>
        <v>735</v>
      </c>
      <c r="M8" s="69"/>
      <c r="O8" s="38">
        <v>45238</v>
      </c>
      <c r="Q8" s="2">
        <v>15000</v>
      </c>
      <c r="R8" s="18">
        <v>45552</v>
      </c>
      <c r="S8" s="2">
        <v>15500</v>
      </c>
      <c r="U8" s="38">
        <v>45314</v>
      </c>
      <c r="W8">
        <v>10000</v>
      </c>
    </row>
    <row r="9" spans="1:23">
      <c r="A9" s="70"/>
      <c r="B9" s="2" t="s">
        <v>134</v>
      </c>
      <c r="C9" t="s">
        <v>133</v>
      </c>
      <c r="D9" s="38">
        <v>45307</v>
      </c>
      <c r="E9" s="53">
        <v>143</v>
      </c>
      <c r="F9" s="2">
        <v>95</v>
      </c>
      <c r="G9" s="13">
        <f>E9*F9+20</f>
        <v>13605</v>
      </c>
      <c r="M9" s="69"/>
      <c r="O9" s="38">
        <v>45242</v>
      </c>
      <c r="P9" s="2">
        <v>5000</v>
      </c>
      <c r="R9" s="18">
        <v>45556</v>
      </c>
      <c r="S9" s="2">
        <v>28691</v>
      </c>
      <c r="U9" s="38">
        <v>45323</v>
      </c>
      <c r="V9" s="2">
        <v>74000</v>
      </c>
    </row>
    <row r="10" spans="1:23">
      <c r="A10" s="70"/>
      <c r="B10" s="2" t="s">
        <v>134</v>
      </c>
      <c r="C10" t="s">
        <v>133</v>
      </c>
      <c r="D10" s="38">
        <v>45307</v>
      </c>
      <c r="E10" s="53">
        <v>143</v>
      </c>
      <c r="F10" s="2">
        <v>100</v>
      </c>
      <c r="G10" s="13">
        <f>E10*F10+20</f>
        <v>14320</v>
      </c>
      <c r="M10" s="69"/>
      <c r="O10" s="38">
        <v>45251</v>
      </c>
      <c r="P10" s="2">
        <v>30000</v>
      </c>
      <c r="R10" s="18">
        <v>45625</v>
      </c>
      <c r="S10" s="2"/>
      <c r="T10">
        <v>63934</v>
      </c>
      <c r="U10" s="38">
        <v>45329</v>
      </c>
      <c r="V10" s="2">
        <v>13800</v>
      </c>
    </row>
    <row r="11" spans="1:23">
      <c r="A11" s="70"/>
      <c r="B11" s="2" t="s">
        <v>134</v>
      </c>
      <c r="C11" t="s">
        <v>133</v>
      </c>
      <c r="D11" s="38">
        <v>45323</v>
      </c>
      <c r="E11" s="53">
        <v>177.8</v>
      </c>
      <c r="F11" s="2">
        <v>200</v>
      </c>
      <c r="G11" s="13">
        <f t="shared" ref="G11:G50" si="1">E11*F11+20</f>
        <v>35580</v>
      </c>
      <c r="M11" s="69"/>
      <c r="O11" s="38">
        <v>45251</v>
      </c>
      <c r="P11" s="2">
        <v>5000</v>
      </c>
      <c r="R11" s="18">
        <v>45628</v>
      </c>
      <c r="S11" s="2"/>
      <c r="T11">
        <v>16459</v>
      </c>
      <c r="U11" s="38">
        <v>45449</v>
      </c>
      <c r="V11" s="2">
        <v>30000</v>
      </c>
    </row>
    <row r="12" spans="1:23">
      <c r="A12" s="70"/>
      <c r="B12" s="2" t="s">
        <v>134</v>
      </c>
      <c r="C12" t="s">
        <v>133</v>
      </c>
      <c r="D12" s="38">
        <v>45335</v>
      </c>
      <c r="E12" s="53">
        <v>147.4</v>
      </c>
      <c r="F12" s="2">
        <v>200</v>
      </c>
      <c r="G12" s="13">
        <f t="shared" si="1"/>
        <v>29500</v>
      </c>
      <c r="M12" s="69"/>
      <c r="O12" s="38">
        <v>45255</v>
      </c>
      <c r="Q12" s="2">
        <v>9500</v>
      </c>
      <c r="R12" s="18">
        <v>45664</v>
      </c>
      <c r="S12">
        <v>250000</v>
      </c>
      <c r="U12" s="38">
        <v>45481</v>
      </c>
      <c r="V12" s="2">
        <v>15970</v>
      </c>
    </row>
    <row r="13" spans="1:23">
      <c r="A13" s="70"/>
      <c r="B13" s="2" t="s">
        <v>134</v>
      </c>
      <c r="C13" s="77" t="s">
        <v>133</v>
      </c>
      <c r="D13" s="38">
        <v>45338</v>
      </c>
      <c r="E13" s="53">
        <v>156.69999999999999</v>
      </c>
      <c r="F13" s="2">
        <v>100</v>
      </c>
      <c r="G13" s="13"/>
      <c r="I13" s="2">
        <f>E13*F13</f>
        <v>15669.999999999998</v>
      </c>
      <c r="K13" s="72">
        <f>I13-SUM(G10)</f>
        <v>1349.9999999999982</v>
      </c>
      <c r="M13" s="69"/>
      <c r="O13" s="38">
        <v>45259</v>
      </c>
      <c r="P13" s="2">
        <v>5000</v>
      </c>
      <c r="R13" s="18">
        <v>45699</v>
      </c>
      <c r="S13" s="2">
        <v>70000</v>
      </c>
      <c r="U13" s="38">
        <v>45523</v>
      </c>
      <c r="W13">
        <v>22036</v>
      </c>
    </row>
    <row r="14" spans="1:23">
      <c r="A14" s="70"/>
      <c r="B14" s="2" t="s">
        <v>134</v>
      </c>
      <c r="C14" t="s">
        <v>133</v>
      </c>
      <c r="D14" s="38">
        <v>45364</v>
      </c>
      <c r="E14" s="53">
        <v>125.4</v>
      </c>
      <c r="F14" s="2">
        <v>58</v>
      </c>
      <c r="G14" s="13">
        <f t="shared" si="1"/>
        <v>7293.2000000000007</v>
      </c>
      <c r="M14" s="69"/>
      <c r="O14" s="38">
        <v>45271</v>
      </c>
      <c r="P14" s="2">
        <v>11300</v>
      </c>
      <c r="R14" s="18"/>
      <c r="S14" s="2"/>
      <c r="U14" s="38">
        <v>45526</v>
      </c>
      <c r="W14">
        <v>30000</v>
      </c>
    </row>
    <row r="15" spans="1:23">
      <c r="A15" s="70"/>
      <c r="B15" s="2" t="s">
        <v>134</v>
      </c>
      <c r="C15" t="s">
        <v>133</v>
      </c>
      <c r="D15" s="38">
        <v>45422</v>
      </c>
      <c r="E15" s="53">
        <v>147.1</v>
      </c>
      <c r="F15" s="2">
        <v>137</v>
      </c>
      <c r="G15" s="13">
        <f t="shared" si="1"/>
        <v>20172.7</v>
      </c>
      <c r="M15" s="69"/>
      <c r="O15" s="38">
        <v>45272</v>
      </c>
      <c r="P15" s="2">
        <v>25000</v>
      </c>
      <c r="R15" s="18"/>
      <c r="S15" s="2"/>
      <c r="U15" s="38">
        <v>45630</v>
      </c>
      <c r="W15">
        <v>15049</v>
      </c>
    </row>
    <row r="16" spans="1:23">
      <c r="A16" s="70"/>
      <c r="B16" s="2" t="s">
        <v>134</v>
      </c>
      <c r="C16" s="77" t="s">
        <v>133</v>
      </c>
      <c r="D16" s="38">
        <v>45440</v>
      </c>
      <c r="F16" s="2">
        <v>95</v>
      </c>
      <c r="H16" s="15">
        <v>183.25</v>
      </c>
      <c r="I16" s="13">
        <f>H16*F16+20</f>
        <v>17428.75</v>
      </c>
      <c r="K16" s="72">
        <f>I16-SUM(G9)</f>
        <v>3823.75</v>
      </c>
      <c r="M16" s="69"/>
      <c r="O16" s="38">
        <v>45297</v>
      </c>
      <c r="Q16" s="2">
        <v>5171</v>
      </c>
      <c r="R16" s="18"/>
      <c r="S16" s="2"/>
      <c r="U16" s="38">
        <v>45635</v>
      </c>
      <c r="W16">
        <v>374488</v>
      </c>
    </row>
    <row r="17" spans="1:21">
      <c r="A17" s="70"/>
      <c r="B17" s="2" t="s">
        <v>134</v>
      </c>
      <c r="C17" s="77" t="s">
        <v>133</v>
      </c>
      <c r="D17" s="38">
        <v>45476</v>
      </c>
      <c r="F17" s="2">
        <v>63</v>
      </c>
      <c r="H17" s="15">
        <v>174</v>
      </c>
      <c r="I17" s="13">
        <f>H17*F17+20</f>
        <v>10982</v>
      </c>
      <c r="K17" s="72"/>
      <c r="M17" s="69"/>
      <c r="O17" s="38">
        <v>45298</v>
      </c>
      <c r="P17" s="2">
        <v>25000</v>
      </c>
      <c r="R17" s="18"/>
      <c r="S17" s="2"/>
      <c r="U17" s="38"/>
    </row>
    <row r="18" spans="1:21">
      <c r="A18" s="70"/>
      <c r="B18" s="2" t="s">
        <v>134</v>
      </c>
      <c r="C18" s="77" t="s">
        <v>133</v>
      </c>
      <c r="D18" s="38">
        <v>45509</v>
      </c>
      <c r="F18" s="2">
        <v>537</v>
      </c>
      <c r="H18" s="15">
        <v>180.25</v>
      </c>
      <c r="I18" s="13">
        <f>H18*F18+20</f>
        <v>96814.25</v>
      </c>
      <c r="K18" s="72">
        <f>SUM(I17:I18)-SUM(G15,G14,G12,G11,G8)</f>
        <v>14515.350000000006</v>
      </c>
      <c r="M18" s="73">
        <f>(SUM(K13:K18)/SUM(G8:G15))</f>
        <v>0.16244341240814189</v>
      </c>
      <c r="N18" s="81"/>
      <c r="O18" s="38">
        <v>45301</v>
      </c>
      <c r="P18" s="2">
        <v>8000</v>
      </c>
      <c r="R18" s="18"/>
      <c r="S18" s="2"/>
      <c r="U18" s="38"/>
    </row>
    <row r="19" spans="1:21">
      <c r="A19" s="70"/>
      <c r="C19" s="77"/>
      <c r="D19" s="38"/>
      <c r="I19" s="13"/>
      <c r="K19" s="72"/>
      <c r="M19" s="73"/>
      <c r="O19" s="38">
        <v>45305</v>
      </c>
      <c r="Q19" s="2">
        <v>2400</v>
      </c>
      <c r="R19" s="18"/>
      <c r="S19" s="2"/>
      <c r="U19" s="38"/>
    </row>
    <row r="20" spans="1:21">
      <c r="A20" s="70"/>
      <c r="B20" s="2" t="s">
        <v>135</v>
      </c>
      <c r="C20" t="s">
        <v>133</v>
      </c>
      <c r="D20" s="18">
        <v>45551</v>
      </c>
      <c r="E20" s="53">
        <v>164.75</v>
      </c>
      <c r="F20" s="2">
        <v>206</v>
      </c>
      <c r="G20" s="13">
        <f t="shared" si="1"/>
        <v>33958.5</v>
      </c>
      <c r="I20" s="13"/>
      <c r="K20" s="72"/>
      <c r="M20" s="69"/>
      <c r="O20" s="38">
        <v>45307</v>
      </c>
      <c r="P20" s="2">
        <v>50000</v>
      </c>
      <c r="R20" s="18"/>
      <c r="S20" s="2"/>
      <c r="U20" s="38"/>
    </row>
    <row r="21" spans="1:21">
      <c r="A21" s="70"/>
      <c r="B21" s="2" t="s">
        <v>135</v>
      </c>
      <c r="C21" t="s">
        <v>133</v>
      </c>
      <c r="D21" s="38">
        <v>45552</v>
      </c>
      <c r="E21" s="53">
        <v>161</v>
      </c>
      <c r="F21" s="2">
        <v>100</v>
      </c>
      <c r="G21" s="13">
        <f t="shared" si="1"/>
        <v>16120</v>
      </c>
      <c r="I21" s="13"/>
      <c r="K21" s="72"/>
      <c r="M21" s="69"/>
      <c r="O21" s="38">
        <v>45309</v>
      </c>
      <c r="Q21" s="2">
        <v>27300</v>
      </c>
      <c r="R21" s="18"/>
      <c r="S21" s="2"/>
      <c r="U21" s="38"/>
    </row>
    <row r="22" spans="1:21">
      <c r="A22" s="70"/>
      <c r="B22" s="2" t="s">
        <v>135</v>
      </c>
      <c r="C22" t="s">
        <v>133</v>
      </c>
      <c r="D22" s="38">
        <v>45552</v>
      </c>
      <c r="E22" s="53">
        <v>162.9</v>
      </c>
      <c r="F22" s="2">
        <v>100</v>
      </c>
      <c r="G22" s="13">
        <f t="shared" si="1"/>
        <v>16310</v>
      </c>
      <c r="I22" s="13"/>
      <c r="K22" s="72"/>
      <c r="M22" s="69"/>
      <c r="O22" s="38">
        <v>45311</v>
      </c>
      <c r="Q22" s="2">
        <v>39400</v>
      </c>
      <c r="R22" s="18"/>
      <c r="S22" s="2"/>
      <c r="U22" s="38"/>
    </row>
    <row r="23" spans="1:21">
      <c r="A23" s="70"/>
      <c r="B23" s="2" t="s">
        <v>135</v>
      </c>
      <c r="C23" t="s">
        <v>133</v>
      </c>
      <c r="D23" s="38">
        <v>45670</v>
      </c>
      <c r="E23" s="53">
        <v>132.82</v>
      </c>
      <c r="F23" s="2">
        <v>200</v>
      </c>
      <c r="G23" s="13">
        <f t="shared" ref="G23" si="2">E23*F23+20</f>
        <v>26584</v>
      </c>
      <c r="I23" s="13"/>
      <c r="K23" s="72"/>
      <c r="M23" s="69"/>
      <c r="O23" s="38">
        <v>45323</v>
      </c>
      <c r="Q23" s="2">
        <v>74000</v>
      </c>
      <c r="R23" s="18"/>
      <c r="S23" s="2"/>
      <c r="U23" s="38"/>
    </row>
    <row r="24" spans="1:21">
      <c r="A24" s="70"/>
      <c r="B24" s="2" t="s">
        <v>135</v>
      </c>
      <c r="C24" t="s">
        <v>133</v>
      </c>
      <c r="D24" s="38">
        <v>45677</v>
      </c>
      <c r="E24" s="53">
        <v>147.19999999999999</v>
      </c>
      <c r="F24" s="2">
        <v>2</v>
      </c>
      <c r="G24" s="13">
        <f t="shared" si="1"/>
        <v>314.39999999999998</v>
      </c>
      <c r="I24" s="13"/>
      <c r="K24" s="72"/>
      <c r="M24" s="69"/>
      <c r="O24" s="38">
        <v>45329</v>
      </c>
      <c r="Q24" s="2">
        <v>4595.74</v>
      </c>
      <c r="R24" s="18"/>
      <c r="S24" s="2"/>
      <c r="U24" s="38"/>
    </row>
    <row r="25" spans="1:21">
      <c r="A25" s="70"/>
      <c r="B25" s="2" t="s">
        <v>135</v>
      </c>
      <c r="C25" t="s">
        <v>133</v>
      </c>
      <c r="D25" s="38">
        <v>45769</v>
      </c>
      <c r="E25" s="53">
        <v>133.38</v>
      </c>
      <c r="F25" s="2">
        <v>600</v>
      </c>
      <c r="G25" s="13">
        <f>E25*F25+20</f>
        <v>80048</v>
      </c>
      <c r="I25" s="13"/>
      <c r="K25" s="72"/>
      <c r="M25" s="69"/>
      <c r="O25" s="38">
        <v>45329</v>
      </c>
      <c r="P25" s="2">
        <v>50000</v>
      </c>
      <c r="R25" s="18"/>
      <c r="S25" s="2"/>
      <c r="U25" s="38"/>
    </row>
    <row r="26" spans="1:21">
      <c r="A26" s="70"/>
      <c r="B26" s="2" t="s">
        <v>135</v>
      </c>
      <c r="C26" s="75" t="s">
        <v>133</v>
      </c>
      <c r="D26" s="38">
        <v>45769</v>
      </c>
      <c r="F26" s="2">
        <v>600</v>
      </c>
      <c r="H26" s="53">
        <v>132.44</v>
      </c>
      <c r="I26" s="13">
        <f>H26*F26+20</f>
        <v>79484</v>
      </c>
      <c r="K26" s="72">
        <f>I26-SUM(G25)</f>
        <v>-564</v>
      </c>
      <c r="M26" s="73">
        <f>(SUM(K26)/SUM(G25))</f>
        <v>-7.0457725364781133E-3</v>
      </c>
      <c r="O26" s="38">
        <v>45362</v>
      </c>
      <c r="P26" s="2">
        <v>10000</v>
      </c>
      <c r="R26" s="18"/>
      <c r="S26" s="2"/>
      <c r="U26" s="38"/>
    </row>
    <row r="27" spans="1:21">
      <c r="A27" s="70"/>
      <c r="B27" s="2" t="s">
        <v>135</v>
      </c>
      <c r="C27" t="s">
        <v>133</v>
      </c>
      <c r="D27" s="38">
        <v>45792</v>
      </c>
      <c r="E27" s="53">
        <v>131</v>
      </c>
      <c r="F27" s="2">
        <v>300</v>
      </c>
      <c r="G27" s="13">
        <f>E27*F27+20</f>
        <v>39320</v>
      </c>
      <c r="I27" s="13"/>
      <c r="K27" s="72"/>
      <c r="M27" s="69"/>
      <c r="O27" s="38">
        <v>45363</v>
      </c>
      <c r="P27" s="2">
        <v>2877</v>
      </c>
      <c r="R27" s="18"/>
      <c r="S27" s="2"/>
      <c r="U27" s="38"/>
    </row>
    <row r="28" spans="1:21">
      <c r="A28" s="70"/>
      <c r="B28" s="2" t="s">
        <v>135</v>
      </c>
      <c r="C28" t="s">
        <v>133</v>
      </c>
      <c r="D28" s="38">
        <v>45798</v>
      </c>
      <c r="E28" s="53">
        <v>138.96</v>
      </c>
      <c r="F28" s="2">
        <v>630</v>
      </c>
      <c r="G28" s="13">
        <f>E28*F28+20</f>
        <v>87564.800000000003</v>
      </c>
      <c r="I28" s="13"/>
      <c r="K28" s="72"/>
      <c r="M28" s="69"/>
      <c r="O28" s="38">
        <v>45389</v>
      </c>
      <c r="P28" s="2">
        <v>50000</v>
      </c>
      <c r="R28" s="18"/>
      <c r="S28" s="2"/>
      <c r="U28" s="38"/>
    </row>
    <row r="29" spans="1:21" ht="13.95" customHeight="1">
      <c r="A29" s="70"/>
      <c r="B29" s="2" t="s">
        <v>135</v>
      </c>
      <c r="C29" t="s">
        <v>133</v>
      </c>
      <c r="D29" s="38">
        <v>45812</v>
      </c>
      <c r="F29" s="2">
        <v>500</v>
      </c>
      <c r="G29" s="13"/>
      <c r="H29" s="15">
        <v>145.66</v>
      </c>
      <c r="I29" s="13">
        <f>H29*F29+20</f>
        <v>72850</v>
      </c>
      <c r="K29" s="72"/>
      <c r="M29" s="69"/>
      <c r="O29" s="38">
        <v>45392</v>
      </c>
      <c r="P29" s="2">
        <v>30000</v>
      </c>
      <c r="R29" s="18"/>
      <c r="S29" s="2"/>
      <c r="U29" s="38"/>
    </row>
    <row r="30" spans="1:21" ht="13.95" customHeight="1">
      <c r="A30" s="70"/>
      <c r="B30" s="2" t="s">
        <v>135</v>
      </c>
      <c r="C30" s="75" t="s">
        <v>133</v>
      </c>
      <c r="D30" s="38">
        <v>45845</v>
      </c>
      <c r="F30" s="2">
        <v>1038</v>
      </c>
      <c r="G30" s="13"/>
      <c r="H30" s="15">
        <v>138.9</v>
      </c>
      <c r="I30" s="13">
        <f>H30*F30+20</f>
        <v>144198.20000000001</v>
      </c>
      <c r="K30" s="72">
        <f>SUM(I29:I30)-SUM(G27,G28,G20:G24)</f>
        <v>-3123.4999999999709</v>
      </c>
      <c r="M30" s="73">
        <f>(SUM(K30)/SUM(G20:G24,G27:G28))</f>
        <v>-1.418665523316562E-2</v>
      </c>
      <c r="O30" s="38">
        <v>45398</v>
      </c>
      <c r="P30" s="2">
        <v>17500</v>
      </c>
      <c r="R30" s="18"/>
      <c r="S30" s="2"/>
      <c r="U30" s="38"/>
    </row>
    <row r="31" spans="1:21">
      <c r="A31" s="70"/>
      <c r="D31" s="38"/>
      <c r="G31" s="13"/>
      <c r="I31" s="13"/>
      <c r="K31" s="72"/>
      <c r="M31" s="69"/>
      <c r="O31" s="38">
        <v>45404</v>
      </c>
      <c r="P31" s="2">
        <v>80000</v>
      </c>
      <c r="R31" s="18"/>
      <c r="S31" s="2"/>
      <c r="U31" s="38"/>
    </row>
    <row r="32" spans="1:21">
      <c r="A32" s="70"/>
      <c r="B32" s="2" t="s">
        <v>132</v>
      </c>
      <c r="C32" t="s">
        <v>136</v>
      </c>
      <c r="D32" s="38">
        <v>45813</v>
      </c>
      <c r="E32" s="53">
        <v>144.5</v>
      </c>
      <c r="F32" s="2">
        <v>474</v>
      </c>
      <c r="G32" s="13">
        <f t="shared" si="1"/>
        <v>68513</v>
      </c>
      <c r="I32" s="13"/>
      <c r="K32" s="72"/>
      <c r="M32" s="69"/>
      <c r="O32" s="38">
        <v>45406</v>
      </c>
      <c r="P32" s="2">
        <v>10000</v>
      </c>
      <c r="R32" s="18"/>
      <c r="S32" s="2"/>
      <c r="U32" s="38"/>
    </row>
    <row r="33" spans="1:35">
      <c r="A33" s="70"/>
      <c r="B33" s="2" t="s">
        <v>132</v>
      </c>
      <c r="C33" t="s">
        <v>136</v>
      </c>
      <c r="D33" s="38">
        <v>45821</v>
      </c>
      <c r="E33" s="53">
        <v>138.78</v>
      </c>
      <c r="F33" s="2">
        <v>4</v>
      </c>
      <c r="G33" s="13">
        <f t="shared" si="1"/>
        <v>575.12</v>
      </c>
      <c r="I33" s="13"/>
      <c r="K33" s="72"/>
      <c r="M33" s="69"/>
      <c r="O33" s="38">
        <v>45411</v>
      </c>
      <c r="P33" s="2">
        <v>8000</v>
      </c>
      <c r="R33" s="18"/>
      <c r="S33" s="2"/>
      <c r="U33" s="38"/>
    </row>
    <row r="34" spans="1:35">
      <c r="A34" s="70"/>
      <c r="B34" s="2" t="s">
        <v>132</v>
      </c>
      <c r="C34" t="s">
        <v>136</v>
      </c>
      <c r="D34" s="38">
        <v>45828</v>
      </c>
      <c r="E34" s="53">
        <v>134</v>
      </c>
      <c r="F34" s="2">
        <v>322</v>
      </c>
      <c r="G34" s="13">
        <f t="shared" ref="G34:G35" si="3">E34*F34+20</f>
        <v>43168</v>
      </c>
      <c r="I34" s="13"/>
      <c r="K34" s="72"/>
      <c r="M34" s="69"/>
      <c r="O34" s="38">
        <v>45421</v>
      </c>
      <c r="P34" s="2">
        <v>60000</v>
      </c>
      <c r="R34" s="18"/>
      <c r="S34" s="2"/>
      <c r="U34" s="38"/>
    </row>
    <row r="35" spans="1:35">
      <c r="A35" s="70"/>
      <c r="B35" s="2" t="s">
        <v>132</v>
      </c>
      <c r="C35" t="s">
        <v>136</v>
      </c>
      <c r="D35" s="38">
        <v>45828</v>
      </c>
      <c r="E35" s="53">
        <v>134.85</v>
      </c>
      <c r="F35" s="2">
        <v>2</v>
      </c>
      <c r="G35" s="13">
        <f t="shared" si="3"/>
        <v>289.7</v>
      </c>
      <c r="I35" s="13"/>
      <c r="K35" s="72"/>
      <c r="M35" s="69"/>
      <c r="O35" s="38">
        <v>45435</v>
      </c>
      <c r="Q35" s="2">
        <v>1500</v>
      </c>
      <c r="R35" s="18"/>
      <c r="S35" s="2"/>
      <c r="U35" s="38"/>
    </row>
    <row r="36" spans="1:35">
      <c r="A36" s="70"/>
      <c r="B36" s="2" t="s">
        <v>132</v>
      </c>
      <c r="C36" s="77" t="s">
        <v>136</v>
      </c>
      <c r="D36" s="38">
        <v>45845</v>
      </c>
      <c r="F36" s="2">
        <v>902</v>
      </c>
      <c r="G36" s="13"/>
      <c r="H36" s="15">
        <v>139.16999999999999</v>
      </c>
      <c r="I36" s="13">
        <f>H36*F36+20</f>
        <v>125551.33999999998</v>
      </c>
      <c r="K36" s="72">
        <f>I36-SUM(G32:G35)</f>
        <v>13005.51999999999</v>
      </c>
      <c r="M36" s="73">
        <f>(SUM(K36)/SUM(G32:G35))</f>
        <v>0.11555755691326422</v>
      </c>
      <c r="O36" s="38">
        <v>45449</v>
      </c>
      <c r="Q36" s="2">
        <v>15361</v>
      </c>
      <c r="R36" s="18"/>
      <c r="S36" s="2"/>
      <c r="T36" s="18"/>
      <c r="U36" s="38"/>
    </row>
    <row r="37" spans="1:35">
      <c r="A37" s="70"/>
      <c r="D37" s="38"/>
      <c r="G37" s="13"/>
      <c r="I37" s="13"/>
      <c r="K37" s="72"/>
      <c r="M37" s="69"/>
      <c r="O37" s="38">
        <v>45481</v>
      </c>
      <c r="Q37" s="2">
        <v>5970</v>
      </c>
      <c r="R37" s="18"/>
      <c r="S37" s="2"/>
      <c r="T37" s="18"/>
      <c r="U37" s="38"/>
    </row>
    <row r="38" spans="1:35">
      <c r="A38" s="70" t="s">
        <v>131</v>
      </c>
      <c r="D38" s="38"/>
      <c r="G38" s="30"/>
      <c r="M38" s="69"/>
      <c r="N38" s="81"/>
      <c r="O38" s="38">
        <v>45556</v>
      </c>
      <c r="Q38" s="2">
        <v>28691</v>
      </c>
      <c r="S38" s="2"/>
    </row>
    <row r="39" spans="1:35">
      <c r="A39" s="70"/>
      <c r="B39" s="2" t="s">
        <v>132</v>
      </c>
      <c r="C39" t="s">
        <v>137</v>
      </c>
      <c r="D39" s="38">
        <v>45412</v>
      </c>
      <c r="E39" s="53">
        <v>181.4</v>
      </c>
      <c r="F39" s="2">
        <v>140</v>
      </c>
      <c r="G39" s="13">
        <f t="shared" si="1"/>
        <v>25416</v>
      </c>
      <c r="M39" s="69"/>
      <c r="O39" s="38">
        <v>45610</v>
      </c>
      <c r="P39" s="2">
        <v>60000</v>
      </c>
    </row>
    <row r="40" spans="1:35">
      <c r="A40" s="70"/>
      <c r="B40" s="2" t="s">
        <v>132</v>
      </c>
      <c r="C40" t="s">
        <v>137</v>
      </c>
      <c r="D40" s="38">
        <v>45433</v>
      </c>
      <c r="E40" s="53">
        <v>183</v>
      </c>
      <c r="F40" s="2">
        <v>100</v>
      </c>
      <c r="G40" s="13">
        <f>E40*F40+20</f>
        <v>18320</v>
      </c>
      <c r="K40" s="72"/>
      <c r="M40" s="73"/>
      <c r="O40" s="38">
        <v>45628</v>
      </c>
      <c r="Q40" s="2">
        <v>18596</v>
      </c>
    </row>
    <row r="41" spans="1:35">
      <c r="A41" s="70"/>
      <c r="B41" s="2" t="s">
        <v>132</v>
      </c>
      <c r="C41" s="77" t="s">
        <v>137</v>
      </c>
      <c r="D41" s="38">
        <v>45440</v>
      </c>
      <c r="F41" s="2">
        <v>240</v>
      </c>
      <c r="G41" s="13"/>
      <c r="H41" s="15">
        <v>191.75</v>
      </c>
      <c r="I41" s="2">
        <f>F41*H41</f>
        <v>46020</v>
      </c>
      <c r="K41" s="72">
        <f>I41-SUM(G39:G40)</f>
        <v>2284</v>
      </c>
      <c r="M41" s="73">
        <f>(SUM(K41)/SUM(G39:G40))</f>
        <v>5.2222425461862079E-2</v>
      </c>
      <c r="O41" s="38">
        <v>45630</v>
      </c>
      <c r="Q41" s="2">
        <v>45772</v>
      </c>
    </row>
    <row r="42" spans="1:35">
      <c r="A42" s="70"/>
      <c r="C42" s="77"/>
      <c r="D42" s="38"/>
      <c r="G42" s="13"/>
      <c r="K42" s="72"/>
      <c r="M42" s="73"/>
      <c r="AA42" s="2"/>
      <c r="AB42" s="38"/>
      <c r="AC42" s="2"/>
      <c r="AD42" s="2"/>
      <c r="AH42" s="2"/>
      <c r="AI42" s="2"/>
    </row>
    <row r="43" spans="1:35">
      <c r="A43" s="70"/>
      <c r="B43" s="2" t="s">
        <v>134</v>
      </c>
      <c r="C43" t="s">
        <v>137</v>
      </c>
      <c r="D43" s="38">
        <v>45412</v>
      </c>
      <c r="E43" s="53">
        <v>181</v>
      </c>
      <c r="F43" s="2">
        <v>29</v>
      </c>
      <c r="G43" s="13">
        <f>E43*F43+20</f>
        <v>5269</v>
      </c>
      <c r="M43" s="69"/>
      <c r="O43" s="38"/>
    </row>
    <row r="44" spans="1:35">
      <c r="A44" s="70"/>
      <c r="B44" s="2" t="s">
        <v>134</v>
      </c>
      <c r="C44" s="77" t="s">
        <v>137</v>
      </c>
      <c r="D44" s="38">
        <v>45440</v>
      </c>
      <c r="F44" s="2">
        <v>29</v>
      </c>
      <c r="G44" s="30"/>
      <c r="H44" s="53">
        <v>186</v>
      </c>
      <c r="I44" s="2">
        <f>H44*F44</f>
        <v>5394</v>
      </c>
      <c r="K44" s="72">
        <f>I44-SUM(G43)</f>
        <v>125</v>
      </c>
      <c r="M44" s="73">
        <f>(SUM(K44)/SUM(G43))</f>
        <v>2.3723666729929777E-2</v>
      </c>
      <c r="N44" s="81"/>
    </row>
    <row r="45" spans="1:35">
      <c r="A45" s="70" t="s">
        <v>138</v>
      </c>
      <c r="M45" s="69"/>
      <c r="O45" s="2" t="s">
        <v>139</v>
      </c>
      <c r="P45" s="119">
        <f>SUM(P3:P44)- SUM(Q3:Q44) +21000</f>
        <v>340420.26</v>
      </c>
      <c r="S45" s="119">
        <f>SUM(S3:S44)- SUM(T3:T44) +21000</f>
        <v>430144</v>
      </c>
      <c r="V45" s="119">
        <f>SUM(V3:V44)- SUM(W3:W44) +21000</f>
        <v>-49843</v>
      </c>
    </row>
    <row r="46" spans="1:35" ht="13.2" customHeight="1">
      <c r="A46" s="70"/>
      <c r="B46" s="2" t="s">
        <v>132</v>
      </c>
      <c r="C46" t="s">
        <v>140</v>
      </c>
      <c r="D46" s="38">
        <v>45390</v>
      </c>
      <c r="E46" s="53">
        <v>47.3</v>
      </c>
      <c r="F46" s="2">
        <v>200</v>
      </c>
      <c r="G46" s="13">
        <f>E46*F46+20</f>
        <v>9480</v>
      </c>
      <c r="M46" s="69"/>
    </row>
    <row r="47" spans="1:35">
      <c r="A47" s="70"/>
      <c r="B47" s="2" t="s">
        <v>132</v>
      </c>
      <c r="C47" s="77" t="s">
        <v>140</v>
      </c>
      <c r="D47" s="38">
        <v>45434</v>
      </c>
      <c r="E47" s="53">
        <v>59.2</v>
      </c>
      <c r="F47" s="2">
        <v>200</v>
      </c>
      <c r="G47" s="13"/>
      <c r="I47" s="2">
        <f>E47*F47</f>
        <v>11840</v>
      </c>
      <c r="K47" s="72">
        <f>I47-SUM(G46)</f>
        <v>2360</v>
      </c>
      <c r="M47" s="73">
        <f>(SUM(K47:K51)/SUM(G49:G51))</f>
        <v>0.10924093210179132</v>
      </c>
    </row>
    <row r="48" spans="1:35">
      <c r="A48" s="70"/>
      <c r="C48" s="77"/>
      <c r="D48" s="38"/>
      <c r="G48" s="13"/>
      <c r="K48" s="72"/>
      <c r="M48" s="73"/>
      <c r="N48" s="81"/>
    </row>
    <row r="49" spans="1:23">
      <c r="A49" s="70"/>
      <c r="B49" s="2" t="s">
        <v>134</v>
      </c>
      <c r="C49" t="s">
        <v>140</v>
      </c>
      <c r="D49" s="38">
        <v>45293</v>
      </c>
      <c r="E49" s="53">
        <v>63.65</v>
      </c>
      <c r="F49" s="2">
        <v>200</v>
      </c>
      <c r="G49" s="13">
        <f t="shared" si="1"/>
        <v>12750</v>
      </c>
      <c r="M49" s="69"/>
      <c r="O49" s="2" t="s">
        <v>141</v>
      </c>
      <c r="Q49" s="119">
        <f>SUM(P45+V45+S45)</f>
        <v>720721.26</v>
      </c>
    </row>
    <row r="50" spans="1:23">
      <c r="A50" s="70"/>
      <c r="B50" s="2" t="s">
        <v>134</v>
      </c>
      <c r="C50" t="s">
        <v>140</v>
      </c>
      <c r="D50" s="38">
        <v>45426</v>
      </c>
      <c r="E50" s="53">
        <v>53.65</v>
      </c>
      <c r="F50" s="2">
        <v>146</v>
      </c>
      <c r="G50" s="13">
        <f t="shared" si="1"/>
        <v>7852.9</v>
      </c>
      <c r="M50" s="73"/>
    </row>
    <row r="51" spans="1:23">
      <c r="A51" s="70"/>
      <c r="B51" s="2" t="s">
        <v>134</v>
      </c>
      <c r="C51" s="75" t="s">
        <v>140</v>
      </c>
      <c r="D51" s="38">
        <v>45434</v>
      </c>
      <c r="E51" s="53">
        <v>59.23</v>
      </c>
      <c r="F51" s="2">
        <v>346</v>
      </c>
      <c r="G51" s="30"/>
      <c r="I51" s="2">
        <f>E51*F51</f>
        <v>20493.579999999998</v>
      </c>
      <c r="K51" s="72">
        <f>I51-SUM(G50+G49)</f>
        <v>-109.32000000000335</v>
      </c>
      <c r="M51" s="73">
        <f>(SUM(K51)/SUM(G49:G50))</f>
        <v>-5.3060491484210152E-3</v>
      </c>
      <c r="N51" s="81"/>
    </row>
    <row r="52" spans="1:23">
      <c r="A52" s="76"/>
      <c r="B52" s="45"/>
      <c r="C52" s="44"/>
      <c r="D52" s="46"/>
      <c r="E52" s="55"/>
      <c r="F52" s="45"/>
      <c r="G52" s="49"/>
      <c r="H52" s="52"/>
      <c r="I52" s="45"/>
      <c r="J52" s="45"/>
      <c r="K52" s="48"/>
      <c r="L52" s="45"/>
      <c r="M52" s="82"/>
      <c r="P52" s="30">
        <v>403995</v>
      </c>
      <c r="Q52" s="119"/>
      <c r="R52" s="10"/>
      <c r="S52" s="30">
        <v>82077</v>
      </c>
      <c r="U52" s="119"/>
      <c r="V52" s="30">
        <v>374625</v>
      </c>
      <c r="W52" s="10"/>
    </row>
    <row r="53" spans="1:23">
      <c r="A53" s="80" t="s">
        <v>142</v>
      </c>
      <c r="D53" s="38"/>
      <c r="G53" s="30"/>
      <c r="M53" s="69"/>
      <c r="O53" s="13">
        <f>SUM(P52,V52,S52)</f>
        <v>860697</v>
      </c>
      <c r="Q53"/>
      <c r="R53" s="10"/>
      <c r="S53" s="30"/>
      <c r="U53" s="119"/>
      <c r="V53" s="30"/>
      <c r="W53" s="10"/>
    </row>
    <row r="54" spans="1:23">
      <c r="A54" s="70" t="s">
        <v>131</v>
      </c>
      <c r="B54" s="2" t="s">
        <v>132</v>
      </c>
      <c r="C54" t="s">
        <v>143</v>
      </c>
      <c r="D54" s="38">
        <v>45186</v>
      </c>
      <c r="E54" s="53">
        <v>721.8</v>
      </c>
      <c r="F54" s="2">
        <v>15</v>
      </c>
      <c r="G54" s="13">
        <f t="shared" ref="G54" si="4">E54*F54</f>
        <v>10827</v>
      </c>
      <c r="M54" s="69"/>
      <c r="O54" s="13">
        <f>O53-Q49</f>
        <v>139975.74</v>
      </c>
      <c r="Q54"/>
    </row>
    <row r="55" spans="1:23">
      <c r="A55" s="70"/>
      <c r="C55" s="75" t="s">
        <v>143</v>
      </c>
      <c r="D55" s="38">
        <v>45279</v>
      </c>
      <c r="F55" s="2">
        <v>18</v>
      </c>
      <c r="G55" s="30"/>
      <c r="H55" s="53">
        <v>593.95000000000005</v>
      </c>
      <c r="I55" s="2">
        <f>H55*F55</f>
        <v>10691.1</v>
      </c>
      <c r="K55" s="72">
        <f>I55-SUM(G54)</f>
        <v>-135.89999999999964</v>
      </c>
      <c r="M55" s="73">
        <f>(SUM(K54:K55)/SUM(G54:G55))</f>
        <v>-1.2551953449709026E-2</v>
      </c>
      <c r="P55" s="30">
        <f>(O53-Q49)</f>
        <v>139975.74</v>
      </c>
      <c r="Q55" s="35">
        <f>(P55/Q49)</f>
        <v>0.19421619392773287</v>
      </c>
    </row>
    <row r="56" spans="1:23">
      <c r="A56" s="70" t="s">
        <v>131</v>
      </c>
      <c r="B56" s="2" t="s">
        <v>135</v>
      </c>
      <c r="C56" t="s">
        <v>144</v>
      </c>
      <c r="D56" s="38">
        <v>45669</v>
      </c>
      <c r="E56" s="53">
        <v>2209.6999999999998</v>
      </c>
      <c r="F56" s="2">
        <v>15</v>
      </c>
      <c r="G56" s="13">
        <f>E56*F56</f>
        <v>33145.5</v>
      </c>
      <c r="M56" s="69"/>
    </row>
    <row r="57" spans="1:23">
      <c r="A57" s="70"/>
      <c r="B57" s="2" t="s">
        <v>135</v>
      </c>
      <c r="C57" s="75" t="s">
        <v>144</v>
      </c>
      <c r="D57" s="38">
        <v>45754</v>
      </c>
      <c r="F57" s="2">
        <v>15</v>
      </c>
      <c r="G57" s="30"/>
      <c r="H57" s="15">
        <v>2190</v>
      </c>
      <c r="I57" s="2">
        <f>H57*F57</f>
        <v>32850</v>
      </c>
      <c r="K57" s="72">
        <f>I57-SUM(G56)</f>
        <v>-295.5</v>
      </c>
      <c r="M57" s="73">
        <f>(SUM(K57)/SUM(G56))</f>
        <v>-8.9152373625379002E-3</v>
      </c>
      <c r="V57" s="30"/>
      <c r="W57" s="35"/>
    </row>
    <row r="58" spans="1:23" ht="13.95" customHeight="1">
      <c r="A58" s="70"/>
      <c r="D58" s="38"/>
      <c r="G58" s="30"/>
      <c r="K58" s="72"/>
      <c r="L58" s="45"/>
      <c r="M58" s="83"/>
    </row>
    <row r="59" spans="1:23">
      <c r="A59" s="68" t="s">
        <v>145</v>
      </c>
      <c r="B59" s="27"/>
      <c r="C59" s="26"/>
      <c r="D59" s="27"/>
      <c r="E59" s="54"/>
      <c r="F59" s="27"/>
      <c r="G59" s="27"/>
      <c r="H59" s="51"/>
      <c r="I59" s="27"/>
      <c r="J59" s="27"/>
      <c r="K59" s="29"/>
      <c r="M59" s="69"/>
    </row>
    <row r="60" spans="1:23">
      <c r="A60" s="70" t="s">
        <v>131</v>
      </c>
      <c r="C60" t="s">
        <v>146</v>
      </c>
      <c r="D60" s="38">
        <v>45251</v>
      </c>
      <c r="E60" s="53">
        <v>13.8</v>
      </c>
      <c r="F60" s="2">
        <v>250</v>
      </c>
      <c r="G60" s="13">
        <f>E60*F60</f>
        <v>3450</v>
      </c>
      <c r="M60" s="69"/>
    </row>
    <row r="61" spans="1:23">
      <c r="A61" s="70"/>
      <c r="C61" s="77" t="s">
        <v>146</v>
      </c>
      <c r="D61" s="38">
        <v>45302</v>
      </c>
      <c r="E61" s="53">
        <v>16.05</v>
      </c>
      <c r="F61" s="2">
        <v>100</v>
      </c>
      <c r="G61" s="13"/>
      <c r="I61" s="2">
        <f>E61*F61</f>
        <v>1605</v>
      </c>
      <c r="M61" s="69"/>
    </row>
    <row r="62" spans="1:23">
      <c r="A62" s="70"/>
      <c r="C62" s="77" t="s">
        <v>146</v>
      </c>
      <c r="D62" s="38">
        <v>45303</v>
      </c>
      <c r="E62" s="53">
        <v>16</v>
      </c>
      <c r="F62" s="2">
        <v>150</v>
      </c>
      <c r="G62" s="13"/>
      <c r="I62" s="2">
        <f>E62*F62</f>
        <v>2400</v>
      </c>
      <c r="K62" s="72">
        <f>SUM(I61:I62)-G60</f>
        <v>555</v>
      </c>
      <c r="M62" s="73">
        <f>(SUM(K62)/SUM(G60:G61))</f>
        <v>0.16086956521739129</v>
      </c>
    </row>
    <row r="63" spans="1:23">
      <c r="A63" s="70"/>
      <c r="B63" s="2" t="s">
        <v>132</v>
      </c>
      <c r="C63" t="s">
        <v>146</v>
      </c>
      <c r="D63" s="38">
        <v>45405</v>
      </c>
      <c r="E63" s="53">
        <v>13.65</v>
      </c>
      <c r="F63" s="2">
        <v>1500</v>
      </c>
      <c r="G63" s="13">
        <f>E63*F63</f>
        <v>20475</v>
      </c>
      <c r="K63" s="72"/>
      <c r="M63" s="69"/>
    </row>
    <row r="64" spans="1:23">
      <c r="A64" s="70"/>
      <c r="C64" t="s">
        <v>146</v>
      </c>
      <c r="D64" s="38">
        <v>45434</v>
      </c>
      <c r="E64" s="53">
        <v>15.25</v>
      </c>
      <c r="F64" s="2">
        <v>67</v>
      </c>
      <c r="G64" s="13">
        <f>E64*F64</f>
        <v>1021.75</v>
      </c>
      <c r="K64" s="72"/>
      <c r="M64" s="69"/>
    </row>
    <row r="65" spans="1:13">
      <c r="A65" s="70"/>
      <c r="B65" s="2" t="s">
        <v>132</v>
      </c>
      <c r="C65" s="77" t="s">
        <v>146</v>
      </c>
      <c r="D65" s="38">
        <v>45440</v>
      </c>
      <c r="E65" s="53">
        <v>14.75</v>
      </c>
      <c r="F65" s="2">
        <v>1567</v>
      </c>
      <c r="G65" s="13"/>
      <c r="I65" s="2">
        <f>E65*F65</f>
        <v>23113.25</v>
      </c>
      <c r="K65" s="72">
        <f>SUM(I64:I65)-SUM(G63:G64)</f>
        <v>1616.5</v>
      </c>
      <c r="M65" s="73">
        <f>(SUM(K65)/SUM(G63:G64))</f>
        <v>7.5197413562515261E-2</v>
      </c>
    </row>
    <row r="66" spans="1:13">
      <c r="A66" s="70"/>
      <c r="B66" s="2" t="s">
        <v>134</v>
      </c>
      <c r="C66" t="s">
        <v>146</v>
      </c>
      <c r="D66" s="38">
        <v>45477</v>
      </c>
      <c r="E66" s="53">
        <v>17.3</v>
      </c>
      <c r="F66" s="2">
        <v>1220</v>
      </c>
      <c r="G66" s="13">
        <f>E66*F66</f>
        <v>21106</v>
      </c>
      <c r="K66" s="72"/>
      <c r="M66" s="69"/>
    </row>
    <row r="67" spans="1:13">
      <c r="A67" s="70"/>
      <c r="C67" s="75" t="s">
        <v>146</v>
      </c>
      <c r="D67" s="38">
        <v>45491</v>
      </c>
      <c r="F67" s="2">
        <v>1220</v>
      </c>
      <c r="G67" s="13"/>
      <c r="H67" s="53">
        <v>15.96</v>
      </c>
      <c r="I67" s="2">
        <f>H67*F67</f>
        <v>19471.2</v>
      </c>
      <c r="K67" s="72">
        <f>SUM(I66:I67)-SUM(G65:G66)</f>
        <v>-1634.7999999999993</v>
      </c>
      <c r="M67" s="73">
        <f>(SUM(K67)/SUM(G66))</f>
        <v>-7.7456647398843892E-2</v>
      </c>
    </row>
    <row r="68" spans="1:13">
      <c r="A68" s="70"/>
      <c r="B68" s="2" t="s">
        <v>135</v>
      </c>
      <c r="C68" t="s">
        <v>147</v>
      </c>
      <c r="D68" s="38">
        <v>45793</v>
      </c>
      <c r="E68" s="53">
        <v>1812</v>
      </c>
      <c r="F68" s="2">
        <v>10</v>
      </c>
      <c r="G68" s="13">
        <f>E68*F68</f>
        <v>18120</v>
      </c>
      <c r="K68" s="72"/>
      <c r="M68" s="69"/>
    </row>
    <row r="69" spans="1:13">
      <c r="A69" s="70"/>
      <c r="B69" s="2" t="s">
        <v>135</v>
      </c>
      <c r="C69" s="77" t="s">
        <v>147</v>
      </c>
      <c r="D69" s="38">
        <v>45797</v>
      </c>
      <c r="F69" s="2">
        <v>10</v>
      </c>
      <c r="G69" s="13"/>
      <c r="H69" s="15">
        <v>1814.6</v>
      </c>
      <c r="I69" s="2">
        <f>H69*F69</f>
        <v>18146</v>
      </c>
      <c r="K69" s="72">
        <f>I69-SUM(G68)</f>
        <v>26</v>
      </c>
      <c r="M69" s="73">
        <f>(SUM(K69)/SUM(G68))</f>
        <v>1.434878587196468E-3</v>
      </c>
    </row>
    <row r="70" spans="1:13">
      <c r="A70" s="70"/>
      <c r="C70" s="75"/>
      <c r="D70" s="38"/>
      <c r="G70" s="13"/>
      <c r="K70" s="72"/>
      <c r="M70" s="73"/>
    </row>
    <row r="71" spans="1:13">
      <c r="A71" s="70" t="s">
        <v>131</v>
      </c>
      <c r="B71" s="2" t="s">
        <v>132</v>
      </c>
      <c r="C71" t="s">
        <v>148</v>
      </c>
      <c r="D71" s="38">
        <v>45870</v>
      </c>
      <c r="E71" s="53">
        <v>1385</v>
      </c>
      <c r="F71" s="2">
        <v>10</v>
      </c>
      <c r="G71" s="13">
        <f t="shared" ref="G71:G84" si="5">E71*F71</f>
        <v>13850</v>
      </c>
      <c r="K71" s="72"/>
      <c r="M71" s="69"/>
    </row>
    <row r="72" spans="1:13">
      <c r="A72" s="70"/>
      <c r="B72" s="2" t="s">
        <v>132</v>
      </c>
      <c r="C72" t="s">
        <v>148</v>
      </c>
      <c r="D72" s="38">
        <v>45870</v>
      </c>
      <c r="E72" s="53">
        <v>1391</v>
      </c>
      <c r="F72" s="17">
        <v>13</v>
      </c>
      <c r="G72" s="13">
        <f t="shared" ref="G72" si="6">E72*F72</f>
        <v>18083</v>
      </c>
      <c r="K72" s="72"/>
      <c r="M72" s="69"/>
    </row>
    <row r="73" spans="1:13">
      <c r="A73" s="70"/>
      <c r="B73" s="2" t="s">
        <v>132</v>
      </c>
      <c r="C73" t="s">
        <v>148</v>
      </c>
      <c r="D73" s="38">
        <v>45870</v>
      </c>
      <c r="E73" s="53">
        <v>1391</v>
      </c>
      <c r="F73" s="17">
        <v>10</v>
      </c>
      <c r="G73" s="13">
        <f t="shared" ref="G73" si="7">E73*F73</f>
        <v>13910</v>
      </c>
      <c r="K73" s="72"/>
      <c r="M73" s="69"/>
    </row>
    <row r="74" spans="1:13">
      <c r="A74" s="70"/>
      <c r="B74" s="2" t="s">
        <v>132</v>
      </c>
      <c r="C74" t="s">
        <v>148</v>
      </c>
      <c r="D74" s="38">
        <v>45870</v>
      </c>
      <c r="E74" s="53">
        <v>1391</v>
      </c>
      <c r="F74" s="2">
        <v>2</v>
      </c>
      <c r="G74" s="13">
        <f t="shared" si="5"/>
        <v>2782</v>
      </c>
      <c r="K74" s="72"/>
      <c r="M74" s="69"/>
    </row>
    <row r="75" spans="1:13">
      <c r="A75" s="70"/>
      <c r="B75" s="2" t="s">
        <v>132</v>
      </c>
      <c r="C75" t="s">
        <v>148</v>
      </c>
      <c r="D75" s="38">
        <v>45874</v>
      </c>
      <c r="E75" s="53">
        <v>1400</v>
      </c>
      <c r="F75" s="2">
        <v>65</v>
      </c>
      <c r="G75" s="13">
        <f t="shared" si="5"/>
        <v>91000</v>
      </c>
      <c r="K75" s="72"/>
      <c r="M75" s="69"/>
    </row>
    <row r="76" spans="1:13">
      <c r="A76" s="70"/>
      <c r="B76" s="2" t="s">
        <v>132</v>
      </c>
      <c r="C76" t="s">
        <v>148</v>
      </c>
      <c r="D76" s="38">
        <v>45874</v>
      </c>
      <c r="E76" s="53">
        <v>1394</v>
      </c>
      <c r="F76" s="2">
        <v>43</v>
      </c>
      <c r="G76" s="13">
        <f t="shared" ref="G76" si="8">E76*F76</f>
        <v>59942</v>
      </c>
      <c r="K76" s="72"/>
      <c r="M76" s="69"/>
    </row>
    <row r="77" spans="1:13">
      <c r="A77" s="70"/>
      <c r="B77" s="2" t="s">
        <v>132</v>
      </c>
      <c r="C77" t="s">
        <v>148</v>
      </c>
      <c r="D77" s="38">
        <v>45874</v>
      </c>
      <c r="E77" s="53">
        <v>1394</v>
      </c>
      <c r="F77" s="2">
        <v>57</v>
      </c>
      <c r="G77" s="13">
        <f t="shared" si="5"/>
        <v>79458</v>
      </c>
      <c r="K77" s="72"/>
      <c r="M77" s="69"/>
    </row>
    <row r="78" spans="1:13">
      <c r="A78" s="70"/>
      <c r="B78" s="2" t="s">
        <v>132</v>
      </c>
      <c r="C78" t="s">
        <v>148</v>
      </c>
      <c r="D78" s="38">
        <v>45874</v>
      </c>
      <c r="E78" s="53">
        <v>1389</v>
      </c>
      <c r="F78" s="2">
        <v>50</v>
      </c>
      <c r="G78" s="13">
        <f t="shared" si="5"/>
        <v>69450</v>
      </c>
      <c r="K78" s="72"/>
      <c r="M78" s="69"/>
    </row>
    <row r="79" spans="1:13">
      <c r="A79" s="70"/>
      <c r="B79" s="2" t="s">
        <v>132</v>
      </c>
      <c r="C79" t="s">
        <v>148</v>
      </c>
      <c r="D79" s="38">
        <v>45876</v>
      </c>
      <c r="E79" s="53">
        <v>1388.4</v>
      </c>
      <c r="F79" s="2">
        <v>50</v>
      </c>
      <c r="G79" s="13">
        <f t="shared" si="5"/>
        <v>69420</v>
      </c>
      <c r="K79" s="72"/>
      <c r="M79" s="69"/>
    </row>
    <row r="80" spans="1:13">
      <c r="A80" s="70"/>
      <c r="B80" s="2" t="s">
        <v>132</v>
      </c>
      <c r="C80" t="s">
        <v>148</v>
      </c>
      <c r="D80" s="38">
        <v>45877</v>
      </c>
      <c r="E80" s="53">
        <v>1371</v>
      </c>
      <c r="F80" s="2">
        <v>100</v>
      </c>
      <c r="G80" s="13">
        <f t="shared" si="5"/>
        <v>137100</v>
      </c>
      <c r="K80" s="72"/>
      <c r="M80" s="69"/>
    </row>
    <row r="81" spans="1:14">
      <c r="A81" s="70"/>
      <c r="B81" s="2" t="s">
        <v>132</v>
      </c>
      <c r="C81" t="s">
        <v>148</v>
      </c>
      <c r="D81" s="38">
        <v>45877</v>
      </c>
      <c r="E81" s="53">
        <v>1366.3</v>
      </c>
      <c r="F81" s="2">
        <v>93</v>
      </c>
      <c r="G81" s="13">
        <f t="shared" si="5"/>
        <v>127065.9</v>
      </c>
      <c r="K81" s="72"/>
      <c r="M81" s="69"/>
    </row>
    <row r="82" spans="1:14">
      <c r="B82" s="2" t="s">
        <v>132</v>
      </c>
      <c r="C82" t="s">
        <v>148</v>
      </c>
      <c r="D82" s="38">
        <v>45877</v>
      </c>
      <c r="E82" s="53">
        <v>1366.3</v>
      </c>
      <c r="F82" s="119">
        <v>7</v>
      </c>
      <c r="G82" s="30">
        <f t="shared" ref="G82" si="9">E82*F82</f>
        <v>9564.1</v>
      </c>
      <c r="K82" s="72"/>
      <c r="M82" s="69"/>
    </row>
    <row r="83" spans="1:14">
      <c r="B83" s="2" t="s">
        <v>132</v>
      </c>
      <c r="C83" t="s">
        <v>148</v>
      </c>
      <c r="D83" s="38">
        <v>45898</v>
      </c>
      <c r="E83" s="53">
        <v>1360</v>
      </c>
      <c r="F83" s="119">
        <v>23</v>
      </c>
      <c r="G83" s="30">
        <f t="shared" si="5"/>
        <v>31280</v>
      </c>
      <c r="K83" s="72"/>
      <c r="M83" s="69"/>
    </row>
    <row r="84" spans="1:14">
      <c r="B84" s="2" t="s">
        <v>132</v>
      </c>
      <c r="C84" t="s">
        <v>148</v>
      </c>
      <c r="D84" s="38">
        <v>45901</v>
      </c>
      <c r="E84" s="53">
        <v>1355</v>
      </c>
      <c r="F84" s="119">
        <v>20</v>
      </c>
      <c r="G84" s="30">
        <f t="shared" si="5"/>
        <v>27100</v>
      </c>
      <c r="K84" s="72"/>
      <c r="M84" s="69"/>
    </row>
    <row r="85" spans="1:14">
      <c r="B85" s="2" t="s">
        <v>132</v>
      </c>
      <c r="C85" s="77" t="s">
        <v>148</v>
      </c>
      <c r="D85" s="38">
        <v>45911</v>
      </c>
      <c r="F85" s="17">
        <v>23</v>
      </c>
      <c r="G85" s="30"/>
      <c r="H85" s="15">
        <v>1383</v>
      </c>
      <c r="I85" s="2">
        <f>H85*F85</f>
        <v>31809</v>
      </c>
      <c r="K85" s="72">
        <f>I85-SUM(G71:G72)</f>
        <v>-124</v>
      </c>
      <c r="M85" s="69"/>
    </row>
    <row r="86" spans="1:14">
      <c r="B86" s="2" t="s">
        <v>132</v>
      </c>
      <c r="C86" s="77" t="s">
        <v>148</v>
      </c>
      <c r="D86" s="38">
        <v>45922</v>
      </c>
      <c r="F86" s="2">
        <v>120</v>
      </c>
      <c r="G86" s="30"/>
      <c r="H86" s="15">
        <v>1406.2</v>
      </c>
      <c r="I86" s="2">
        <f>H86*F86</f>
        <v>168744</v>
      </c>
      <c r="K86" s="72">
        <f>I86-SUM(G73:G76)</f>
        <v>1110</v>
      </c>
      <c r="M86" s="69"/>
    </row>
    <row r="87" spans="1:14">
      <c r="B87" s="2" t="s">
        <v>132</v>
      </c>
      <c r="C87" s="75" t="s">
        <v>148</v>
      </c>
      <c r="D87" s="38">
        <v>45923</v>
      </c>
      <c r="F87" s="2">
        <v>350</v>
      </c>
      <c r="G87" s="30"/>
      <c r="H87" s="15">
        <v>1383.12</v>
      </c>
      <c r="I87" s="2">
        <f>H87*F87</f>
        <v>484091.99999999994</v>
      </c>
      <c r="K87" s="72">
        <f>I87-SUM(G77:G81)</f>
        <v>1598.0999999999185</v>
      </c>
      <c r="M87" s="69"/>
      <c r="N87" s="81"/>
    </row>
    <row r="88" spans="1:14">
      <c r="D88" s="38"/>
      <c r="G88" s="30"/>
      <c r="K88" s="72"/>
      <c r="M88" s="69"/>
    </row>
    <row r="89" spans="1:14">
      <c r="B89" s="2" t="s">
        <v>135</v>
      </c>
      <c r="C89" t="s">
        <v>148</v>
      </c>
      <c r="D89" s="38">
        <v>45673</v>
      </c>
      <c r="E89" s="53">
        <v>1263.8</v>
      </c>
      <c r="F89" s="2">
        <v>10</v>
      </c>
      <c r="G89" s="13">
        <f>E89*F89</f>
        <v>12638</v>
      </c>
      <c r="K89" s="72"/>
      <c r="M89" s="69"/>
    </row>
    <row r="90" spans="1:14">
      <c r="A90" s="70"/>
      <c r="B90" s="2" t="s">
        <v>135</v>
      </c>
      <c r="C90" s="77" t="s">
        <v>148</v>
      </c>
      <c r="D90" s="38">
        <v>45769</v>
      </c>
      <c r="F90" s="2">
        <v>10</v>
      </c>
      <c r="G90" s="13"/>
      <c r="H90" s="15">
        <v>1300</v>
      </c>
      <c r="I90" s="2">
        <f>H90*F90</f>
        <v>13000</v>
      </c>
      <c r="K90" s="72">
        <f>I90-SUM(G89)</f>
        <v>362</v>
      </c>
      <c r="M90" s="69"/>
    </row>
    <row r="91" spans="1:14">
      <c r="A91" s="70"/>
      <c r="B91" s="2" t="s">
        <v>135</v>
      </c>
      <c r="C91" t="s">
        <v>148</v>
      </c>
      <c r="D91" s="38">
        <v>45793</v>
      </c>
      <c r="E91" s="53">
        <v>1443.5</v>
      </c>
      <c r="F91" s="2">
        <v>11</v>
      </c>
      <c r="G91" s="13">
        <f>E91*F91</f>
        <v>15878.5</v>
      </c>
      <c r="K91" s="72"/>
      <c r="M91" s="69"/>
    </row>
    <row r="92" spans="1:14">
      <c r="A92" s="70"/>
      <c r="B92" s="2" t="s">
        <v>135</v>
      </c>
      <c r="C92" t="s">
        <v>148</v>
      </c>
      <c r="D92" s="38">
        <v>45796</v>
      </c>
      <c r="E92" s="53">
        <v>1446</v>
      </c>
      <c r="F92" s="2">
        <v>10</v>
      </c>
      <c r="G92" s="13">
        <f>E92*F92</f>
        <v>14460</v>
      </c>
      <c r="K92" s="72"/>
      <c r="M92" s="69"/>
    </row>
    <row r="93" spans="1:14" ht="15" customHeight="1">
      <c r="A93" s="70"/>
      <c r="B93" s="2" t="s">
        <v>135</v>
      </c>
      <c r="C93" t="s">
        <v>148</v>
      </c>
      <c r="D93" s="38">
        <v>45796</v>
      </c>
      <c r="E93" s="53">
        <v>1441</v>
      </c>
      <c r="F93" s="2">
        <v>10</v>
      </c>
      <c r="G93" s="13">
        <f>E93*F93</f>
        <v>14410</v>
      </c>
      <c r="K93" s="72"/>
      <c r="M93" s="69"/>
    </row>
    <row r="94" spans="1:14">
      <c r="A94" s="70"/>
      <c r="B94" s="2" t="s">
        <v>135</v>
      </c>
      <c r="C94" t="s">
        <v>148</v>
      </c>
      <c r="D94" s="38">
        <v>45807</v>
      </c>
      <c r="E94" s="53">
        <v>1413.7</v>
      </c>
      <c r="F94" s="2">
        <v>11</v>
      </c>
      <c r="G94" s="13">
        <f>E94*F94</f>
        <v>15550.7</v>
      </c>
      <c r="K94" s="72"/>
      <c r="M94" s="69"/>
    </row>
    <row r="95" spans="1:14">
      <c r="A95" s="70"/>
      <c r="B95" s="2" t="s">
        <v>135</v>
      </c>
      <c r="C95" t="s">
        <v>148</v>
      </c>
      <c r="D95" s="38">
        <v>45812</v>
      </c>
      <c r="E95" s="53">
        <v>1411</v>
      </c>
      <c r="F95" s="2">
        <v>50</v>
      </c>
      <c r="G95" s="13">
        <f>E95*F95</f>
        <v>70550</v>
      </c>
      <c r="K95" s="72"/>
      <c r="M95" s="69"/>
    </row>
    <row r="96" spans="1:14">
      <c r="A96" s="70"/>
      <c r="B96" s="2" t="s">
        <v>135</v>
      </c>
      <c r="C96" s="77" t="s">
        <v>148</v>
      </c>
      <c r="D96" s="38">
        <v>45845</v>
      </c>
      <c r="F96" s="2">
        <v>92</v>
      </c>
      <c r="H96" s="13">
        <v>1527.4</v>
      </c>
      <c r="I96" s="2">
        <f>H96*F96</f>
        <v>140520.80000000002</v>
      </c>
      <c r="K96" s="72">
        <f>I96-SUM(G91:G95)</f>
        <v>9671.6000000000204</v>
      </c>
      <c r="M96" s="69"/>
    </row>
    <row r="97" spans="1:14">
      <c r="A97" s="70"/>
      <c r="B97" s="2" t="s">
        <v>135</v>
      </c>
      <c r="C97" t="s">
        <v>148</v>
      </c>
      <c r="D97" s="38">
        <v>45866</v>
      </c>
      <c r="E97" s="53">
        <v>1395</v>
      </c>
      <c r="F97" s="119">
        <v>20</v>
      </c>
      <c r="G97" s="30">
        <f>E97*F97</f>
        <v>27900</v>
      </c>
      <c r="H97" s="13"/>
      <c r="K97" s="72"/>
      <c r="M97" s="69"/>
    </row>
    <row r="98" spans="1:14">
      <c r="A98" s="70"/>
      <c r="B98" s="2" t="s">
        <v>135</v>
      </c>
      <c r="C98" t="s">
        <v>148</v>
      </c>
      <c r="D98" s="38">
        <v>45867</v>
      </c>
      <c r="E98" s="53">
        <v>1394.5</v>
      </c>
      <c r="F98" s="119">
        <v>20</v>
      </c>
      <c r="G98" s="30">
        <f>E98*F98</f>
        <v>27890</v>
      </c>
      <c r="H98" s="13"/>
      <c r="K98" s="72"/>
      <c r="M98" s="69"/>
    </row>
    <row r="99" spans="1:14">
      <c r="A99" s="70"/>
      <c r="D99" s="38"/>
      <c r="G99" s="13"/>
      <c r="H99" s="13"/>
      <c r="K99" s="72"/>
      <c r="M99" s="69"/>
    </row>
    <row r="100" spans="1:14">
      <c r="A100" s="70"/>
      <c r="B100" s="2" t="s">
        <v>135</v>
      </c>
      <c r="C100" t="s">
        <v>149</v>
      </c>
      <c r="D100" s="38">
        <v>45848</v>
      </c>
      <c r="E100" s="53">
        <v>82.7</v>
      </c>
      <c r="F100" s="2">
        <v>100</v>
      </c>
      <c r="G100" s="13">
        <f>E100*F100</f>
        <v>8270</v>
      </c>
      <c r="H100" s="13"/>
      <c r="K100" s="72"/>
      <c r="M100" s="69"/>
    </row>
    <row r="101" spans="1:14">
      <c r="A101" s="70"/>
      <c r="B101" s="2" t="s">
        <v>135</v>
      </c>
      <c r="C101" s="75" t="s">
        <v>149</v>
      </c>
      <c r="D101" s="38">
        <v>45874</v>
      </c>
      <c r="F101" s="2">
        <v>100</v>
      </c>
      <c r="G101" s="13"/>
      <c r="H101" s="13">
        <v>74.11</v>
      </c>
      <c r="I101" s="2">
        <f>H101*F101</f>
        <v>7411</v>
      </c>
      <c r="K101" s="72">
        <f>I101-SUM(G100)</f>
        <v>-859</v>
      </c>
      <c r="M101" s="69"/>
    </row>
    <row r="102" spans="1:14">
      <c r="A102" s="70"/>
      <c r="D102" s="38"/>
      <c r="G102" s="13"/>
      <c r="H102" s="13"/>
      <c r="K102" s="72"/>
      <c r="M102" s="69"/>
    </row>
    <row r="103" spans="1:14">
      <c r="A103" s="70"/>
      <c r="D103" s="38"/>
      <c r="G103" s="13"/>
      <c r="K103" s="72"/>
      <c r="L103" s="45"/>
      <c r="M103" s="82"/>
    </row>
    <row r="104" spans="1:14">
      <c r="A104" s="68" t="s">
        <v>150</v>
      </c>
      <c r="B104" s="27"/>
      <c r="C104" s="26"/>
      <c r="D104" s="27"/>
      <c r="E104" s="54"/>
      <c r="F104" s="27"/>
      <c r="G104" s="27"/>
      <c r="H104" s="51"/>
      <c r="I104" s="27"/>
      <c r="J104" s="27"/>
      <c r="K104" s="29"/>
      <c r="M104" s="69"/>
    </row>
    <row r="105" spans="1:14">
      <c r="A105" s="70" t="s">
        <v>131</v>
      </c>
      <c r="B105" s="2" t="s">
        <v>134</v>
      </c>
      <c r="C105" t="s">
        <v>151</v>
      </c>
      <c r="D105" s="38">
        <v>45306</v>
      </c>
      <c r="E105" s="53">
        <v>24.7</v>
      </c>
      <c r="F105" s="2">
        <v>950</v>
      </c>
      <c r="G105" s="13">
        <f>E105*F105</f>
        <v>23465</v>
      </c>
      <c r="M105" s="69"/>
      <c r="N105" s="81"/>
    </row>
    <row r="106" spans="1:14">
      <c r="A106" s="70"/>
      <c r="B106" s="2" t="s">
        <v>134</v>
      </c>
      <c r="C106" s="75" t="s">
        <v>151</v>
      </c>
      <c r="D106" s="38">
        <v>45321</v>
      </c>
      <c r="F106" s="2">
        <v>950</v>
      </c>
      <c r="G106" s="13"/>
      <c r="H106" s="53">
        <v>24.12</v>
      </c>
      <c r="I106" s="13">
        <f>H106*F106</f>
        <v>22914</v>
      </c>
      <c r="K106" s="72">
        <f>I106-SUM(G105)</f>
        <v>-551</v>
      </c>
      <c r="M106" s="73">
        <f>(SUM(K106)/SUM(G105))</f>
        <v>-2.348178137651822E-2</v>
      </c>
    </row>
    <row r="107" spans="1:14">
      <c r="A107" s="70"/>
      <c r="B107" s="2" t="s">
        <v>134</v>
      </c>
      <c r="C107" t="s">
        <v>151</v>
      </c>
      <c r="D107" s="38">
        <v>45329</v>
      </c>
      <c r="E107" s="53">
        <v>26.85</v>
      </c>
      <c r="F107" s="2">
        <v>200</v>
      </c>
      <c r="G107" s="13">
        <f>E107*F107</f>
        <v>5370</v>
      </c>
      <c r="I107" s="13"/>
      <c r="K107" s="72"/>
      <c r="M107" s="69"/>
    </row>
    <row r="108" spans="1:14">
      <c r="A108" s="70"/>
      <c r="B108" s="2" t="s">
        <v>134</v>
      </c>
      <c r="C108" t="s">
        <v>151</v>
      </c>
      <c r="D108" s="38">
        <v>45329</v>
      </c>
      <c r="E108" s="53">
        <v>27.3</v>
      </c>
      <c r="F108" s="2">
        <v>285</v>
      </c>
      <c r="G108" s="13">
        <f>E108*F108</f>
        <v>7780.5</v>
      </c>
      <c r="I108" s="13"/>
      <c r="K108" s="72"/>
      <c r="M108" s="69"/>
    </row>
    <row r="109" spans="1:14">
      <c r="A109" s="70"/>
      <c r="B109" s="2" t="s">
        <v>134</v>
      </c>
      <c r="C109" s="77" t="s">
        <v>151</v>
      </c>
      <c r="D109" s="38">
        <v>45334</v>
      </c>
      <c r="E109" s="53">
        <v>28.9</v>
      </c>
      <c r="F109" s="2">
        <v>485</v>
      </c>
      <c r="I109" s="13">
        <f>E109*F109</f>
        <v>14016.5</v>
      </c>
      <c r="K109" s="72">
        <f>I109-SUM(G107:G108)</f>
        <v>866</v>
      </c>
      <c r="M109" s="69"/>
    </row>
    <row r="110" spans="1:14">
      <c r="A110" s="70"/>
      <c r="C110" s="77"/>
      <c r="D110" s="38"/>
      <c r="I110" s="13"/>
      <c r="K110" s="72"/>
      <c r="M110" s="69"/>
    </row>
    <row r="111" spans="1:14">
      <c r="A111" s="70"/>
      <c r="B111" s="2" t="s">
        <v>132</v>
      </c>
      <c r="C111" t="s">
        <v>151</v>
      </c>
      <c r="D111" s="38">
        <v>45186</v>
      </c>
      <c r="E111" s="53">
        <v>18.350000000000001</v>
      </c>
      <c r="F111" s="2">
        <v>200</v>
      </c>
      <c r="G111" s="13">
        <f t="shared" ref="G111" si="10">E111*F111</f>
        <v>3670.0000000000005</v>
      </c>
      <c r="I111" s="13"/>
      <c r="K111" s="72"/>
      <c r="M111" s="69"/>
    </row>
    <row r="112" spans="1:14">
      <c r="A112" s="70"/>
      <c r="B112" s="2" t="s">
        <v>132</v>
      </c>
      <c r="C112" t="s">
        <v>151</v>
      </c>
      <c r="D112" s="38">
        <v>45239</v>
      </c>
      <c r="E112" s="53">
        <v>18.149999999999999</v>
      </c>
      <c r="F112" s="2">
        <v>280</v>
      </c>
      <c r="G112" s="13">
        <f t="shared" ref="G112:G115" si="11">E112*F112</f>
        <v>5082</v>
      </c>
      <c r="M112" s="69"/>
    </row>
    <row r="113" spans="1:14">
      <c r="A113" s="70"/>
      <c r="B113" s="2" t="s">
        <v>132</v>
      </c>
      <c r="C113" t="s">
        <v>151</v>
      </c>
      <c r="D113" s="38">
        <v>45259</v>
      </c>
      <c r="E113" s="53">
        <v>19.899999999999999</v>
      </c>
      <c r="F113" s="2">
        <v>250</v>
      </c>
      <c r="G113" s="13">
        <f t="shared" si="11"/>
        <v>4975</v>
      </c>
      <c r="M113" s="69"/>
    </row>
    <row r="114" spans="1:14">
      <c r="A114" s="70"/>
      <c r="B114" s="2" t="s">
        <v>132</v>
      </c>
      <c r="C114" t="s">
        <v>151</v>
      </c>
      <c r="D114" s="38">
        <v>45271</v>
      </c>
      <c r="E114" s="53">
        <v>20.6</v>
      </c>
      <c r="F114" s="2">
        <v>540</v>
      </c>
      <c r="G114" s="13">
        <f t="shared" si="11"/>
        <v>11124</v>
      </c>
      <c r="M114" s="69"/>
    </row>
    <row r="115" spans="1:14">
      <c r="A115" s="70"/>
      <c r="B115" s="2" t="s">
        <v>132</v>
      </c>
      <c r="C115" t="s">
        <v>151</v>
      </c>
      <c r="D115" s="38">
        <v>45279</v>
      </c>
      <c r="E115" s="53">
        <v>22.2</v>
      </c>
      <c r="F115" s="2">
        <v>398</v>
      </c>
      <c r="G115" s="13">
        <f t="shared" si="11"/>
        <v>8835.6</v>
      </c>
      <c r="M115" s="69"/>
    </row>
    <row r="116" spans="1:14">
      <c r="A116" s="70"/>
      <c r="B116" s="2" t="s">
        <v>132</v>
      </c>
      <c r="C116" t="s">
        <v>151</v>
      </c>
      <c r="D116" s="38">
        <v>45299</v>
      </c>
      <c r="E116" s="53">
        <v>23.7</v>
      </c>
      <c r="F116" s="2">
        <v>332</v>
      </c>
      <c r="G116" s="13">
        <f>E116*F116</f>
        <v>7868.4</v>
      </c>
      <c r="M116" s="69"/>
    </row>
    <row r="117" spans="1:14">
      <c r="A117" s="70"/>
      <c r="B117" s="2" t="s">
        <v>132</v>
      </c>
      <c r="C117" t="s">
        <v>151</v>
      </c>
      <c r="D117" s="38">
        <v>45306</v>
      </c>
      <c r="E117" s="53">
        <v>24.75</v>
      </c>
      <c r="F117" s="2">
        <v>1000</v>
      </c>
      <c r="G117" s="13">
        <f>E117*F117</f>
        <v>24750</v>
      </c>
      <c r="M117" s="69"/>
    </row>
    <row r="118" spans="1:14">
      <c r="A118" s="70"/>
      <c r="B118" s="2" t="s">
        <v>132</v>
      </c>
      <c r="C118" t="s">
        <v>151</v>
      </c>
      <c r="D118" s="38">
        <v>45307</v>
      </c>
      <c r="E118" s="53">
        <v>25.85</v>
      </c>
      <c r="F118" s="2">
        <v>500</v>
      </c>
      <c r="G118" s="13">
        <f>E118*F118</f>
        <v>12925</v>
      </c>
      <c r="M118" s="69"/>
    </row>
    <row r="119" spans="1:14">
      <c r="A119" s="70"/>
      <c r="B119" s="2" t="s">
        <v>132</v>
      </c>
      <c r="C119" s="77" t="s">
        <v>151</v>
      </c>
      <c r="D119" s="38">
        <v>45309</v>
      </c>
      <c r="E119" s="53">
        <v>24.7</v>
      </c>
      <c r="F119" s="2">
        <v>400</v>
      </c>
      <c r="G119" s="13"/>
      <c r="I119" s="13">
        <f>E119*F119</f>
        <v>9880</v>
      </c>
      <c r="M119" s="69"/>
    </row>
    <row r="120" spans="1:14">
      <c r="A120" s="70"/>
      <c r="B120" s="2" t="s">
        <v>132</v>
      </c>
      <c r="C120" s="77" t="s">
        <v>151</v>
      </c>
      <c r="D120" s="38">
        <v>45321</v>
      </c>
      <c r="E120" s="53">
        <v>24</v>
      </c>
      <c r="F120" s="2">
        <v>3100</v>
      </c>
      <c r="G120" s="13"/>
      <c r="I120" s="13">
        <f>E120*F120</f>
        <v>74400</v>
      </c>
      <c r="K120" s="72">
        <f>SUM(I119:I120)-SUM(G111:G118)</f>
        <v>5050</v>
      </c>
      <c r="M120" s="69"/>
    </row>
    <row r="121" spans="1:14">
      <c r="A121" s="70"/>
      <c r="B121" s="2" t="s">
        <v>132</v>
      </c>
      <c r="C121" t="s">
        <v>151</v>
      </c>
      <c r="D121" s="38">
        <v>45329</v>
      </c>
      <c r="E121" s="53">
        <v>27.48</v>
      </c>
      <c r="F121" s="2">
        <v>1788</v>
      </c>
      <c r="G121" s="13">
        <f>E121*F121</f>
        <v>49134.239999999998</v>
      </c>
      <c r="I121" s="13"/>
      <c r="M121" s="69"/>
    </row>
    <row r="122" spans="1:14">
      <c r="A122" s="70"/>
      <c r="B122" s="2" t="s">
        <v>132</v>
      </c>
      <c r="C122" t="s">
        <v>151</v>
      </c>
      <c r="D122" s="38">
        <v>45330</v>
      </c>
      <c r="E122" s="53">
        <v>30.6</v>
      </c>
      <c r="F122" s="2">
        <v>10</v>
      </c>
      <c r="G122" s="13">
        <f>E122*F122</f>
        <v>306</v>
      </c>
      <c r="I122" s="13"/>
      <c r="M122" s="69"/>
    </row>
    <row r="123" spans="1:14">
      <c r="A123" s="70"/>
      <c r="B123" s="2" t="s">
        <v>132</v>
      </c>
      <c r="C123" s="77" t="s">
        <v>151</v>
      </c>
      <c r="D123" s="38">
        <v>45334</v>
      </c>
      <c r="E123" s="53">
        <v>28.65</v>
      </c>
      <c r="F123" s="2">
        <v>1798</v>
      </c>
      <c r="G123" s="13"/>
      <c r="I123" s="13">
        <f>E123*F123</f>
        <v>51512.7</v>
      </c>
      <c r="K123" s="72">
        <f>I123-SUM(G121:G122)</f>
        <v>2072.4599999999991</v>
      </c>
      <c r="M123" s="69"/>
      <c r="N123" s="81"/>
    </row>
    <row r="124" spans="1:14">
      <c r="A124" s="70"/>
      <c r="B124" s="2" t="s">
        <v>132</v>
      </c>
      <c r="D124" s="38">
        <v>45335</v>
      </c>
      <c r="E124" s="53">
        <v>27.7</v>
      </c>
      <c r="F124" s="2">
        <v>340</v>
      </c>
      <c r="G124" s="13">
        <f t="shared" ref="G124:G126" si="12">E124*F124</f>
        <v>9418</v>
      </c>
      <c r="I124" s="13"/>
      <c r="K124" s="72"/>
      <c r="M124" s="69"/>
    </row>
    <row r="125" spans="1:14">
      <c r="A125" s="70"/>
      <c r="B125" s="2" t="s">
        <v>132</v>
      </c>
      <c r="D125" s="38">
        <v>45362</v>
      </c>
      <c r="E125" s="53">
        <v>24.05</v>
      </c>
      <c r="F125" s="2">
        <v>419</v>
      </c>
      <c r="G125" s="13">
        <f t="shared" si="12"/>
        <v>10076.950000000001</v>
      </c>
      <c r="I125" s="13"/>
      <c r="K125" s="72"/>
      <c r="M125" s="69"/>
    </row>
    <row r="126" spans="1:14">
      <c r="A126" s="70"/>
      <c r="B126" s="2" t="s">
        <v>132</v>
      </c>
      <c r="D126" s="38">
        <v>45363</v>
      </c>
      <c r="E126" s="53">
        <v>22.75</v>
      </c>
      <c r="F126" s="2">
        <v>127</v>
      </c>
      <c r="G126" s="13">
        <f t="shared" si="12"/>
        <v>2889.25</v>
      </c>
      <c r="I126" s="13"/>
      <c r="K126" s="72"/>
      <c r="M126" s="69"/>
    </row>
    <row r="127" spans="1:14">
      <c r="A127" s="70"/>
      <c r="B127" s="2" t="s">
        <v>132</v>
      </c>
      <c r="C127" s="75" t="s">
        <v>151</v>
      </c>
      <c r="D127" s="38">
        <v>45392</v>
      </c>
      <c r="E127" s="53">
        <v>24.46</v>
      </c>
      <c r="F127" s="2">
        <v>886</v>
      </c>
      <c r="G127" s="30"/>
      <c r="I127" s="13">
        <f>E127*F127</f>
        <v>21671.56</v>
      </c>
      <c r="K127" s="72">
        <f>I127-SUM(G124:G126)</f>
        <v>-712.63999999999942</v>
      </c>
      <c r="M127" s="69"/>
    </row>
    <row r="128" spans="1:14">
      <c r="A128" s="70"/>
      <c r="B128" s="2" t="s">
        <v>134</v>
      </c>
      <c r="D128" s="38">
        <v>45338</v>
      </c>
      <c r="E128" s="53">
        <v>28.7</v>
      </c>
      <c r="F128" s="2">
        <v>435</v>
      </c>
      <c r="G128" s="13">
        <f>E128*F128</f>
        <v>12484.5</v>
      </c>
      <c r="I128" s="13"/>
      <c r="K128" s="72"/>
      <c r="M128" s="69"/>
    </row>
    <row r="129" spans="1:14">
      <c r="A129" s="70"/>
      <c r="B129" s="2" t="s">
        <v>134</v>
      </c>
      <c r="D129" s="38">
        <v>45352</v>
      </c>
      <c r="E129" s="53">
        <v>24.85</v>
      </c>
      <c r="F129" s="2">
        <v>125</v>
      </c>
      <c r="G129" s="13">
        <f>E129*F129</f>
        <v>3106.25</v>
      </c>
      <c r="I129" s="13"/>
      <c r="K129" s="72"/>
      <c r="M129" s="69"/>
    </row>
    <row r="130" spans="1:14">
      <c r="A130" s="70"/>
      <c r="B130" s="2" t="s">
        <v>134</v>
      </c>
      <c r="C130" s="75" t="s">
        <v>151</v>
      </c>
      <c r="D130" s="38">
        <v>45394</v>
      </c>
      <c r="E130" s="53">
        <v>24.47</v>
      </c>
      <c r="F130" s="2">
        <v>560</v>
      </c>
      <c r="G130" s="30"/>
      <c r="I130" s="13">
        <f>E130*F130</f>
        <v>13703.199999999999</v>
      </c>
      <c r="K130" s="72">
        <f>I130-SUM(G128:G129)</f>
        <v>-1887.5500000000011</v>
      </c>
      <c r="M130" s="69"/>
    </row>
    <row r="131" spans="1:14">
      <c r="A131" s="70"/>
      <c r="D131" s="38"/>
      <c r="G131" s="30"/>
      <c r="I131" s="13"/>
      <c r="K131" s="72"/>
      <c r="M131" s="69"/>
    </row>
    <row r="132" spans="1:14">
      <c r="A132" s="70" t="s">
        <v>131</v>
      </c>
      <c r="B132" s="2" t="s">
        <v>132</v>
      </c>
      <c r="C132" t="s">
        <v>152</v>
      </c>
      <c r="D132" s="38">
        <v>45335</v>
      </c>
      <c r="E132" s="53">
        <v>1391.4</v>
      </c>
      <c r="F132" s="2">
        <v>10</v>
      </c>
      <c r="G132" s="13">
        <f>F132*E132</f>
        <v>13914</v>
      </c>
      <c r="I132" s="13"/>
      <c r="K132" s="72"/>
      <c r="M132" s="69"/>
    </row>
    <row r="133" spans="1:14">
      <c r="A133" s="70"/>
      <c r="B133" s="2" t="s">
        <v>134</v>
      </c>
      <c r="C133" t="s">
        <v>152</v>
      </c>
      <c r="D133" s="38">
        <v>45309</v>
      </c>
      <c r="E133" s="53">
        <v>1502.85</v>
      </c>
      <c r="F133" s="2">
        <v>10</v>
      </c>
      <c r="G133" s="13">
        <f>F133*E133</f>
        <v>15028.5</v>
      </c>
      <c r="I133" s="13"/>
      <c r="K133" s="72"/>
      <c r="M133" s="69"/>
    </row>
    <row r="134" spans="1:14">
      <c r="A134" s="70"/>
      <c r="B134" s="2" t="s">
        <v>134</v>
      </c>
      <c r="C134" s="75" t="s">
        <v>152</v>
      </c>
      <c r="D134" s="38">
        <v>45309</v>
      </c>
      <c r="E134" s="53">
        <v>1499.15</v>
      </c>
      <c r="F134" s="2">
        <v>10</v>
      </c>
      <c r="G134" s="13">
        <f>F134*E134</f>
        <v>14991.5</v>
      </c>
      <c r="I134" s="13">
        <f>F134*E134</f>
        <v>14991.5</v>
      </c>
      <c r="K134" s="72">
        <f>I134-SUM(G133)</f>
        <v>-37</v>
      </c>
      <c r="M134" s="69"/>
    </row>
    <row r="135" spans="1:14">
      <c r="A135" s="70"/>
      <c r="B135" s="2" t="s">
        <v>134</v>
      </c>
      <c r="C135" t="s">
        <v>152</v>
      </c>
      <c r="D135" s="38">
        <v>45335</v>
      </c>
      <c r="E135" s="53">
        <v>1391.4</v>
      </c>
      <c r="F135" s="2">
        <v>40</v>
      </c>
      <c r="G135" s="13">
        <f>F135*E135</f>
        <v>55656</v>
      </c>
      <c r="I135" s="13"/>
      <c r="K135" s="72"/>
      <c r="M135" s="69"/>
    </row>
    <row r="136" spans="1:14">
      <c r="A136" s="70"/>
      <c r="B136" s="2" t="s">
        <v>132</v>
      </c>
      <c r="C136" s="77" t="s">
        <v>152</v>
      </c>
      <c r="D136" s="38">
        <v>45448</v>
      </c>
      <c r="E136" s="53">
        <v>1515</v>
      </c>
      <c r="F136" s="2">
        <v>10</v>
      </c>
      <c r="I136" s="13">
        <f>F136*E136</f>
        <v>15150</v>
      </c>
      <c r="K136" s="72">
        <f>I136-SUM(G132)</f>
        <v>1236</v>
      </c>
      <c r="M136" s="69"/>
    </row>
    <row r="137" spans="1:14">
      <c r="A137" s="70"/>
      <c r="B137" s="2" t="s">
        <v>134</v>
      </c>
      <c r="C137" s="77" t="s">
        <v>152</v>
      </c>
      <c r="D137" s="38">
        <v>45448</v>
      </c>
      <c r="E137" s="53">
        <v>1550</v>
      </c>
      <c r="F137" s="2">
        <v>40</v>
      </c>
      <c r="G137" s="30"/>
      <c r="I137" s="13">
        <f>F137*E137</f>
        <v>62000</v>
      </c>
      <c r="K137" s="72">
        <f>I137-SUM(G135)</f>
        <v>6344</v>
      </c>
      <c r="M137" s="69"/>
    </row>
    <row r="138" spans="1:14">
      <c r="A138" s="70"/>
      <c r="D138" s="38"/>
      <c r="G138" s="13"/>
      <c r="I138" s="13"/>
      <c r="K138" s="72"/>
      <c r="M138" s="73">
        <f>(SUM(K109:K130)/SUM(G109:G130))</f>
        <v>3.2333786531732467E-2</v>
      </c>
    </row>
    <row r="139" spans="1:14">
      <c r="A139" s="70" t="s">
        <v>153</v>
      </c>
      <c r="B139" s="2" t="s">
        <v>134</v>
      </c>
      <c r="C139" t="s">
        <v>154</v>
      </c>
      <c r="D139" s="38">
        <v>45314</v>
      </c>
      <c r="E139" s="53">
        <v>49.4</v>
      </c>
      <c r="F139" s="2">
        <v>500</v>
      </c>
      <c r="G139" s="13">
        <f>F139*E139</f>
        <v>24700</v>
      </c>
      <c r="I139" s="13"/>
      <c r="K139" s="72"/>
      <c r="M139" s="69"/>
      <c r="N139" s="81"/>
    </row>
    <row r="140" spans="1:14">
      <c r="A140" s="70"/>
      <c r="C140" t="s">
        <v>154</v>
      </c>
      <c r="D140" s="38">
        <v>45335</v>
      </c>
      <c r="E140" s="53">
        <v>41.35</v>
      </c>
      <c r="F140" s="2">
        <v>200</v>
      </c>
      <c r="G140" s="13">
        <f>F140*E140</f>
        <v>8270</v>
      </c>
      <c r="I140" s="13"/>
      <c r="K140" s="72"/>
      <c r="M140" s="69"/>
    </row>
    <row r="141" spans="1:14">
      <c r="A141" s="70"/>
      <c r="C141" s="75" t="s">
        <v>154</v>
      </c>
      <c r="D141" s="38">
        <v>45435</v>
      </c>
      <c r="E141" s="53">
        <v>42.1</v>
      </c>
      <c r="F141" s="2">
        <v>700</v>
      </c>
      <c r="G141" s="13"/>
      <c r="I141" s="13">
        <f>F141*E141</f>
        <v>29470</v>
      </c>
      <c r="K141" s="72">
        <f>I141-SUM(G139:G140)</f>
        <v>-3500</v>
      </c>
      <c r="M141" s="69"/>
    </row>
    <row r="142" spans="1:14">
      <c r="A142" s="70"/>
      <c r="C142" s="2"/>
      <c r="D142" s="38"/>
      <c r="G142" s="13"/>
      <c r="I142" s="13"/>
      <c r="K142" s="72"/>
      <c r="M142" s="69"/>
    </row>
    <row r="143" spans="1:14">
      <c r="A143" s="70" t="s">
        <v>155</v>
      </c>
      <c r="B143" s="2" t="s">
        <v>135</v>
      </c>
      <c r="C143" t="s">
        <v>156</v>
      </c>
      <c r="D143" s="38">
        <v>45523</v>
      </c>
      <c r="E143" s="53">
        <v>42.82</v>
      </c>
      <c r="F143" s="2">
        <v>1000</v>
      </c>
      <c r="G143" s="13">
        <f>E143*F143</f>
        <v>42820</v>
      </c>
      <c r="M143" s="69"/>
    </row>
    <row r="144" spans="1:14">
      <c r="A144" s="70"/>
      <c r="C144" s="77" t="s">
        <v>156</v>
      </c>
      <c r="D144" s="38">
        <v>45544</v>
      </c>
      <c r="F144" s="2">
        <v>1000</v>
      </c>
      <c r="G144" s="30"/>
      <c r="H144" s="53">
        <v>42.92</v>
      </c>
      <c r="I144" s="13">
        <f>F144*H144</f>
        <v>42920</v>
      </c>
      <c r="K144" s="72">
        <f>I144-SUM(G142:G143)</f>
        <v>100</v>
      </c>
      <c r="M144" s="73">
        <f>(SUM(K144)/SUM(G143))</f>
        <v>2.3353573096683792E-3</v>
      </c>
    </row>
    <row r="145" spans="1:14">
      <c r="A145" s="70"/>
      <c r="C145" s="77"/>
      <c r="D145" s="38"/>
      <c r="G145" s="30"/>
      <c r="H145" s="53"/>
      <c r="I145" s="13"/>
      <c r="K145" s="72"/>
      <c r="M145" s="73"/>
    </row>
    <row r="146" spans="1:14">
      <c r="A146" s="70" t="s">
        <v>131</v>
      </c>
      <c r="B146" s="2" t="s">
        <v>132</v>
      </c>
      <c r="C146" t="s">
        <v>157</v>
      </c>
      <c r="D146" s="38">
        <v>45881</v>
      </c>
      <c r="E146" s="53">
        <v>1422.2</v>
      </c>
      <c r="F146" s="2">
        <v>21</v>
      </c>
      <c r="G146" s="13">
        <f>F146*E146</f>
        <v>29866.2</v>
      </c>
      <c r="I146" s="13"/>
      <c r="K146" s="72"/>
      <c r="M146" s="73"/>
    </row>
    <row r="147" spans="1:14">
      <c r="A147" s="70"/>
      <c r="B147" s="2" t="s">
        <v>132</v>
      </c>
      <c r="C147" t="s">
        <v>157</v>
      </c>
      <c r="D147" s="38">
        <v>45881</v>
      </c>
      <c r="E147" s="53">
        <v>1422.1</v>
      </c>
      <c r="F147" s="2">
        <v>19</v>
      </c>
      <c r="G147" s="13">
        <f>F147*E147</f>
        <v>27019.899999999998</v>
      </c>
      <c r="I147" s="13"/>
      <c r="K147" s="72"/>
      <c r="M147" s="69"/>
    </row>
    <row r="148" spans="1:14">
      <c r="A148" s="70"/>
      <c r="B148" s="2" t="s">
        <v>132</v>
      </c>
      <c r="C148" s="75" t="s">
        <v>157</v>
      </c>
      <c r="D148" s="38">
        <v>45881</v>
      </c>
      <c r="F148" s="2">
        <v>40</v>
      </c>
      <c r="H148" s="15">
        <v>1393</v>
      </c>
      <c r="I148" s="13">
        <f>F148*H148</f>
        <v>55720</v>
      </c>
      <c r="K148" s="72">
        <f>I148-SUM(G146:G147)</f>
        <v>-1166.0999999999985</v>
      </c>
      <c r="M148" s="69"/>
    </row>
    <row r="149" spans="1:14">
      <c r="A149" s="76"/>
      <c r="B149" s="45"/>
      <c r="C149" s="44"/>
      <c r="D149" s="45"/>
      <c r="E149" s="55"/>
      <c r="F149" s="45"/>
      <c r="G149" s="45"/>
      <c r="H149" s="52"/>
      <c r="I149" s="45"/>
      <c r="J149" s="45"/>
      <c r="K149" s="48"/>
      <c r="L149" s="45"/>
      <c r="M149" s="82"/>
    </row>
    <row r="150" spans="1:14">
      <c r="A150" s="80" t="s">
        <v>158</v>
      </c>
      <c r="D150" s="38"/>
      <c r="G150" s="13"/>
      <c r="I150" s="13"/>
      <c r="K150" s="72"/>
      <c r="M150" s="69"/>
    </row>
    <row r="151" spans="1:14">
      <c r="A151" s="70" t="s">
        <v>131</v>
      </c>
      <c r="B151" s="2" t="s">
        <v>132</v>
      </c>
      <c r="C151" t="s">
        <v>159</v>
      </c>
      <c r="D151" s="38">
        <v>45883</v>
      </c>
      <c r="E151" s="53">
        <v>69.510000000000005</v>
      </c>
      <c r="F151" s="2">
        <v>10</v>
      </c>
      <c r="G151" s="13">
        <f>F151*E151</f>
        <v>695.1</v>
      </c>
      <c r="I151" s="13"/>
      <c r="K151" s="72"/>
      <c r="M151" s="69"/>
      <c r="N151" s="81"/>
    </row>
    <row r="152" spans="1:14">
      <c r="A152" s="70"/>
      <c r="B152" s="2" t="s">
        <v>132</v>
      </c>
      <c r="C152" t="s">
        <v>159</v>
      </c>
      <c r="D152" s="38">
        <v>45891</v>
      </c>
      <c r="E152" s="53">
        <v>70.239999999999995</v>
      </c>
      <c r="F152" s="2">
        <v>3</v>
      </c>
      <c r="G152" s="13">
        <f>F152*E152</f>
        <v>210.71999999999997</v>
      </c>
      <c r="I152" s="13"/>
      <c r="K152" s="72"/>
      <c r="M152" s="69"/>
    </row>
    <row r="153" spans="1:14">
      <c r="A153" s="70"/>
      <c r="B153" s="2" t="s">
        <v>132</v>
      </c>
      <c r="C153" s="77" t="s">
        <v>159</v>
      </c>
      <c r="D153" s="38">
        <v>45905</v>
      </c>
      <c r="F153" s="2">
        <v>13</v>
      </c>
      <c r="H153" s="15">
        <v>74.5</v>
      </c>
      <c r="I153" s="2">
        <f>H153*F153</f>
        <v>968.5</v>
      </c>
      <c r="K153" s="72">
        <f>I153-SUM(G151:G152)</f>
        <v>62.680000000000064</v>
      </c>
      <c r="M153" s="69"/>
    </row>
    <row r="154" spans="1:14">
      <c r="A154" s="76"/>
      <c r="B154" s="45"/>
      <c r="C154" s="44"/>
      <c r="D154" s="46"/>
      <c r="E154" s="55"/>
      <c r="F154" s="45"/>
      <c r="G154" s="47"/>
      <c r="H154" s="52"/>
      <c r="I154" s="47"/>
      <c r="J154" s="45"/>
      <c r="K154" s="50"/>
      <c r="L154" s="45"/>
      <c r="M154" s="82"/>
    </row>
    <row r="155" spans="1:14">
      <c r="A155" s="80" t="s">
        <v>160</v>
      </c>
      <c r="D155" s="38"/>
      <c r="G155" s="13"/>
      <c r="I155" s="13"/>
      <c r="K155" s="72"/>
      <c r="M155" s="69"/>
    </row>
    <row r="156" spans="1:14">
      <c r="A156" s="70" t="s">
        <v>131</v>
      </c>
      <c r="B156" s="2" t="s">
        <v>135</v>
      </c>
      <c r="C156" t="s">
        <v>161</v>
      </c>
      <c r="D156" s="38">
        <v>45674</v>
      </c>
      <c r="E156" s="53">
        <v>2397.58</v>
      </c>
      <c r="F156" s="2">
        <v>15</v>
      </c>
      <c r="G156" s="13">
        <f>F156*E156</f>
        <v>35963.699999999997</v>
      </c>
      <c r="I156" s="13"/>
      <c r="K156" s="72"/>
      <c r="M156" s="69"/>
    </row>
    <row r="157" spans="1:14">
      <c r="A157" s="70"/>
      <c r="B157" s="2" t="s">
        <v>135</v>
      </c>
      <c r="C157" s="77" t="s">
        <v>161</v>
      </c>
      <c r="D157" s="38">
        <v>45769</v>
      </c>
      <c r="F157" s="2">
        <v>15</v>
      </c>
      <c r="G157" s="13"/>
      <c r="H157" s="15">
        <v>2464.37</v>
      </c>
      <c r="I157" s="2">
        <f>H157*F157</f>
        <v>36965.549999999996</v>
      </c>
      <c r="K157" s="72">
        <f>I157-SUM(G156)</f>
        <v>1001.8499999999985</v>
      </c>
      <c r="M157" s="69"/>
    </row>
    <row r="158" spans="1:14">
      <c r="A158" s="70"/>
      <c r="C158" s="77"/>
      <c r="D158" s="38"/>
      <c r="G158" s="13"/>
      <c r="K158" s="72"/>
      <c r="M158" s="69"/>
      <c r="N158" s="81"/>
    </row>
    <row r="159" spans="1:14">
      <c r="A159" s="70"/>
      <c r="B159" s="2" t="s">
        <v>132</v>
      </c>
      <c r="C159" t="s">
        <v>161</v>
      </c>
      <c r="D159" s="38">
        <v>45919</v>
      </c>
      <c r="E159" s="53">
        <v>2495</v>
      </c>
      <c r="F159" s="2">
        <v>10</v>
      </c>
      <c r="G159" s="30">
        <f>F159*E159</f>
        <v>24950</v>
      </c>
      <c r="K159" s="72"/>
      <c r="M159" s="69"/>
    </row>
    <row r="160" spans="1:14">
      <c r="A160" s="70"/>
      <c r="B160" s="2" t="s">
        <v>132</v>
      </c>
      <c r="C160" t="s">
        <v>161</v>
      </c>
      <c r="D160" s="38">
        <v>45919</v>
      </c>
      <c r="E160" s="53">
        <v>2628</v>
      </c>
      <c r="F160" s="2">
        <v>10</v>
      </c>
      <c r="G160" s="30">
        <f>F160*E160</f>
        <v>26280</v>
      </c>
      <c r="K160" s="72"/>
      <c r="M160" s="69"/>
    </row>
    <row r="161" spans="1:13">
      <c r="A161" s="70"/>
      <c r="C161" s="77"/>
      <c r="D161" s="38"/>
      <c r="G161" s="13"/>
      <c r="K161" s="72"/>
      <c r="M161" s="69"/>
    </row>
    <row r="162" spans="1:13">
      <c r="A162" s="70"/>
      <c r="B162" s="2" t="s">
        <v>132</v>
      </c>
      <c r="C162" t="s">
        <v>162</v>
      </c>
      <c r="D162" s="38">
        <v>45883</v>
      </c>
      <c r="E162" s="53">
        <v>428.7</v>
      </c>
      <c r="F162" s="2">
        <v>10</v>
      </c>
      <c r="G162" s="13">
        <f>F162*E162</f>
        <v>4287</v>
      </c>
      <c r="I162" s="13"/>
      <c r="K162" s="72"/>
      <c r="M162" s="69"/>
    </row>
    <row r="163" spans="1:13">
      <c r="A163" s="70"/>
      <c r="B163" s="2" t="s">
        <v>132</v>
      </c>
      <c r="C163" s="77" t="s">
        <v>162</v>
      </c>
      <c r="D163" s="38">
        <v>45905</v>
      </c>
      <c r="F163" s="2">
        <v>10</v>
      </c>
      <c r="G163" s="13"/>
      <c r="H163" s="15">
        <v>446.25</v>
      </c>
      <c r="I163" s="2">
        <f>H163*F163</f>
        <v>4462.5</v>
      </c>
      <c r="K163" s="72">
        <f>I163-SUM(G162)</f>
        <v>175.5</v>
      </c>
      <c r="M163" s="69"/>
    </row>
    <row r="164" spans="1:13">
      <c r="A164" s="70"/>
      <c r="C164" s="77"/>
      <c r="D164" s="38"/>
      <c r="G164" s="13"/>
      <c r="K164" s="72"/>
      <c r="M164" s="69"/>
    </row>
    <row r="165" spans="1:13">
      <c r="A165" s="70"/>
      <c r="B165" s="2" t="s">
        <v>132</v>
      </c>
      <c r="C165" t="s">
        <v>163</v>
      </c>
      <c r="D165" s="38">
        <v>45883</v>
      </c>
      <c r="E165" s="53">
        <v>1777</v>
      </c>
      <c r="F165" s="2">
        <v>10</v>
      </c>
      <c r="G165" s="30">
        <f>F165*E165</f>
        <v>17770</v>
      </c>
      <c r="I165" s="13"/>
      <c r="K165" s="72"/>
      <c r="M165" s="69"/>
    </row>
    <row r="166" spans="1:13">
      <c r="A166" s="70"/>
      <c r="B166" s="2" t="s">
        <v>132</v>
      </c>
      <c r="C166" t="s">
        <v>163</v>
      </c>
      <c r="D166" s="38">
        <v>45887</v>
      </c>
      <c r="E166" s="53">
        <v>1732</v>
      </c>
      <c r="F166" s="2">
        <v>10</v>
      </c>
      <c r="G166" s="30">
        <f>F166*E166</f>
        <v>17320</v>
      </c>
      <c r="I166" s="13"/>
      <c r="K166" s="72"/>
      <c r="M166" s="69"/>
    </row>
    <row r="167" spans="1:13">
      <c r="A167" s="70"/>
      <c r="B167" s="2" t="s">
        <v>132</v>
      </c>
      <c r="C167" t="s">
        <v>163</v>
      </c>
      <c r="D167" s="38">
        <v>45888</v>
      </c>
      <c r="E167" s="53">
        <v>1735</v>
      </c>
      <c r="F167" s="2">
        <v>10</v>
      </c>
      <c r="G167" s="30">
        <f>F167*E167</f>
        <v>17350</v>
      </c>
      <c r="I167" s="13"/>
      <c r="K167" s="72"/>
      <c r="M167" s="69"/>
    </row>
    <row r="168" spans="1:13">
      <c r="A168" s="70"/>
      <c r="D168" s="38"/>
      <c r="G168" s="13"/>
      <c r="I168" s="13"/>
      <c r="K168" s="72"/>
      <c r="M168" s="69"/>
    </row>
    <row r="169" spans="1:13">
      <c r="A169" s="70"/>
      <c r="B169" s="2" t="s">
        <v>135</v>
      </c>
      <c r="C169" t="s">
        <v>163</v>
      </c>
      <c r="D169" s="38">
        <v>45847</v>
      </c>
      <c r="E169" s="53">
        <v>1790</v>
      </c>
      <c r="F169" s="2">
        <v>10</v>
      </c>
      <c r="G169" s="13">
        <f>F169*E169</f>
        <v>17900</v>
      </c>
      <c r="K169" s="72"/>
      <c r="M169" s="69"/>
    </row>
    <row r="170" spans="1:13">
      <c r="A170" s="70"/>
      <c r="B170" s="2" t="s">
        <v>135</v>
      </c>
      <c r="C170" t="s">
        <v>163</v>
      </c>
      <c r="D170" s="38">
        <v>45848</v>
      </c>
      <c r="E170" s="53">
        <v>1766</v>
      </c>
      <c r="F170" s="2">
        <v>10</v>
      </c>
      <c r="G170" s="13">
        <f>F170*E170</f>
        <v>17660</v>
      </c>
      <c r="K170" s="72"/>
      <c r="M170" s="69"/>
    </row>
    <row r="171" spans="1:13">
      <c r="A171" s="70"/>
      <c r="B171" s="2" t="s">
        <v>135</v>
      </c>
      <c r="C171" t="s">
        <v>163</v>
      </c>
      <c r="D171" s="38">
        <v>45849</v>
      </c>
      <c r="E171" s="53">
        <v>1759.2</v>
      </c>
      <c r="F171" s="2">
        <v>10</v>
      </c>
      <c r="G171" s="13">
        <f>F171*E171</f>
        <v>17592</v>
      </c>
      <c r="K171" s="72"/>
      <c r="M171" s="69"/>
    </row>
    <row r="172" spans="1:13">
      <c r="A172" s="70"/>
      <c r="B172" s="2" t="s">
        <v>135</v>
      </c>
      <c r="C172" t="s">
        <v>163</v>
      </c>
      <c r="D172" s="38">
        <v>45853</v>
      </c>
      <c r="E172" s="53">
        <v>1722</v>
      </c>
      <c r="F172" s="2">
        <v>20</v>
      </c>
      <c r="G172" s="13">
        <f>F172*E172</f>
        <v>34440</v>
      </c>
      <c r="K172" s="72"/>
      <c r="M172" s="69"/>
    </row>
    <row r="173" spans="1:13">
      <c r="A173" s="70"/>
      <c r="B173" s="2" t="s">
        <v>135</v>
      </c>
      <c r="C173" s="77" t="s">
        <v>163</v>
      </c>
      <c r="D173" s="38">
        <v>45873</v>
      </c>
      <c r="F173" s="2">
        <v>50</v>
      </c>
      <c r="G173" s="13"/>
      <c r="H173" s="15">
        <v>1804.6</v>
      </c>
      <c r="I173" s="2">
        <f>H173*F173</f>
        <v>90230</v>
      </c>
      <c r="K173" s="72">
        <f>I173-SUM(G169:G172)</f>
        <v>2638</v>
      </c>
      <c r="M173" s="69"/>
    </row>
    <row r="174" spans="1:13" ht="15" customHeight="1">
      <c r="A174" s="70"/>
      <c r="D174" s="38"/>
      <c r="G174" s="13"/>
      <c r="I174" s="13"/>
      <c r="K174" s="72"/>
      <c r="L174" s="45"/>
      <c r="M174" s="82"/>
    </row>
    <row r="175" spans="1:13" ht="15" customHeight="1">
      <c r="A175" s="68" t="s">
        <v>164</v>
      </c>
      <c r="B175" s="27"/>
      <c r="C175" s="26"/>
      <c r="D175" s="27"/>
      <c r="E175" s="54"/>
      <c r="F175" s="27"/>
      <c r="G175" s="27"/>
      <c r="H175" s="51"/>
      <c r="I175" s="27"/>
      <c r="J175" s="27"/>
      <c r="K175" s="29"/>
      <c r="M175" s="69"/>
    </row>
    <row r="176" spans="1:13" ht="15" customHeight="1">
      <c r="A176" s="70" t="s">
        <v>138</v>
      </c>
      <c r="C176" t="s">
        <v>165</v>
      </c>
      <c r="D176" s="38">
        <v>45188</v>
      </c>
      <c r="E176" s="53">
        <v>54</v>
      </c>
      <c r="F176" s="2">
        <v>44</v>
      </c>
      <c r="G176" s="13">
        <f t="shared" ref="G176" si="13">E176*F176</f>
        <v>2376</v>
      </c>
      <c r="M176" s="69"/>
    </row>
    <row r="177" spans="1:13" ht="15" customHeight="1">
      <c r="A177" s="70"/>
      <c r="C177" s="75" t="s">
        <v>165</v>
      </c>
      <c r="D177" s="38">
        <v>45279</v>
      </c>
      <c r="F177" s="2">
        <v>44</v>
      </c>
      <c r="G177" s="13"/>
      <c r="H177" s="53">
        <v>48.4</v>
      </c>
      <c r="I177" s="2">
        <f>H177*F177</f>
        <v>2129.6</v>
      </c>
      <c r="K177" s="72">
        <f>I177-SUM(G176)</f>
        <v>-246.40000000000009</v>
      </c>
      <c r="M177" s="69"/>
    </row>
    <row r="178" spans="1:13" ht="15" customHeight="1">
      <c r="A178" s="70"/>
      <c r="D178" s="38"/>
      <c r="G178" s="13"/>
      <c r="M178" s="69"/>
    </row>
    <row r="179" spans="1:13" ht="15" customHeight="1">
      <c r="A179" s="76"/>
      <c r="B179" s="45"/>
      <c r="C179" s="44"/>
      <c r="D179" s="46"/>
      <c r="E179" s="55"/>
      <c r="F179" s="45"/>
      <c r="G179" s="47"/>
      <c r="H179" s="52"/>
      <c r="I179" s="45"/>
      <c r="J179" s="45"/>
      <c r="K179" s="48"/>
      <c r="L179" s="45"/>
      <c r="M179" s="82"/>
    </row>
    <row r="180" spans="1:13" ht="15" customHeight="1">
      <c r="A180" s="80" t="s">
        <v>166</v>
      </c>
      <c r="D180" s="38"/>
      <c r="G180" s="13"/>
      <c r="M180" s="73"/>
    </row>
    <row r="181" spans="1:13" ht="15" customHeight="1">
      <c r="A181" s="70" t="s">
        <v>131</v>
      </c>
      <c r="B181" s="2" t="s">
        <v>132</v>
      </c>
      <c r="C181" t="s">
        <v>167</v>
      </c>
      <c r="D181" s="38">
        <v>45868</v>
      </c>
      <c r="E181" s="53">
        <v>2300</v>
      </c>
      <c r="F181" s="2">
        <v>5</v>
      </c>
      <c r="G181" s="13">
        <f t="shared" ref="G181:G185" si="14">E181*F181</f>
        <v>11500</v>
      </c>
      <c r="M181" s="69"/>
    </row>
    <row r="182" spans="1:13" ht="15" customHeight="1">
      <c r="A182" s="70"/>
      <c r="B182" s="2" t="s">
        <v>132</v>
      </c>
      <c r="C182" t="s">
        <v>167</v>
      </c>
      <c r="D182" s="38">
        <v>45870</v>
      </c>
      <c r="E182" s="53">
        <v>2430</v>
      </c>
      <c r="F182" s="2">
        <v>9</v>
      </c>
      <c r="G182" s="13">
        <f t="shared" si="14"/>
        <v>21870</v>
      </c>
      <c r="M182" s="69"/>
    </row>
    <row r="183" spans="1:13" ht="15" customHeight="1">
      <c r="A183" s="70"/>
      <c r="B183" s="2" t="s">
        <v>132</v>
      </c>
      <c r="C183" s="77" t="s">
        <v>167</v>
      </c>
      <c r="D183" s="38">
        <v>45872</v>
      </c>
      <c r="F183" s="2">
        <v>14</v>
      </c>
      <c r="G183" s="13"/>
      <c r="H183" s="15">
        <v>2391</v>
      </c>
      <c r="I183" s="2">
        <f>H183*F183</f>
        <v>33474</v>
      </c>
      <c r="K183" s="72">
        <f>I183-SUM(G181:G182)</f>
        <v>104</v>
      </c>
      <c r="M183" s="69"/>
    </row>
    <row r="184" spans="1:13" ht="15" customHeight="1">
      <c r="A184" s="70"/>
      <c r="B184" s="2" t="s">
        <v>132</v>
      </c>
      <c r="C184" t="s">
        <v>167</v>
      </c>
      <c r="D184" s="38">
        <v>45870</v>
      </c>
      <c r="E184" s="53">
        <v>2430</v>
      </c>
      <c r="F184" s="2">
        <v>1</v>
      </c>
      <c r="G184" s="13">
        <f>E184*F184</f>
        <v>2430</v>
      </c>
      <c r="K184" s="72"/>
      <c r="M184" s="69"/>
    </row>
    <row r="185" spans="1:13" ht="15" customHeight="1">
      <c r="A185" s="70"/>
      <c r="B185" s="2" t="s">
        <v>132</v>
      </c>
      <c r="C185" t="s">
        <v>167</v>
      </c>
      <c r="D185" s="38">
        <v>45891</v>
      </c>
      <c r="E185" s="53">
        <v>2220.9499999999998</v>
      </c>
      <c r="F185" s="2">
        <v>2</v>
      </c>
      <c r="G185" s="13">
        <f t="shared" si="14"/>
        <v>4441.8999999999996</v>
      </c>
      <c r="K185" s="72"/>
      <c r="M185" s="69"/>
    </row>
    <row r="186" spans="1:13" ht="15" customHeight="1">
      <c r="A186" s="70"/>
      <c r="B186" s="2" t="s">
        <v>132</v>
      </c>
      <c r="C186" t="s">
        <v>167</v>
      </c>
      <c r="D186" s="38">
        <v>45891</v>
      </c>
      <c r="E186" s="53">
        <v>2058</v>
      </c>
      <c r="F186" s="2">
        <v>10</v>
      </c>
      <c r="G186" s="13">
        <f t="shared" ref="G186" si="15">E186*F186</f>
        <v>20580</v>
      </c>
      <c r="K186" s="72"/>
      <c r="M186" s="69"/>
    </row>
    <row r="187" spans="1:13" ht="15" customHeight="1">
      <c r="A187" s="70"/>
      <c r="B187" s="2" t="s">
        <v>132</v>
      </c>
      <c r="C187" s="77" t="s">
        <v>167</v>
      </c>
      <c r="D187" s="38">
        <v>45911</v>
      </c>
      <c r="F187" s="2">
        <v>13</v>
      </c>
      <c r="G187" s="13"/>
      <c r="H187" s="15">
        <v>2318.4699999999998</v>
      </c>
      <c r="I187" s="2">
        <f>H187*F187</f>
        <v>30140.109999999997</v>
      </c>
      <c r="K187" s="72">
        <f>I187-SUM(G184:G186)</f>
        <v>2688.2099999999955</v>
      </c>
      <c r="M187" s="69"/>
    </row>
    <row r="188" spans="1:13">
      <c r="A188" s="70"/>
      <c r="D188" s="38"/>
      <c r="G188" s="13"/>
      <c r="M188" s="69"/>
    </row>
    <row r="189" spans="1:13">
      <c r="A189" s="70"/>
      <c r="B189" s="2" t="s">
        <v>135</v>
      </c>
      <c r="C189" t="s">
        <v>168</v>
      </c>
      <c r="D189" s="38">
        <v>45847</v>
      </c>
      <c r="E189" s="53">
        <v>487</v>
      </c>
      <c r="F189" s="2">
        <v>100</v>
      </c>
      <c r="G189" s="13">
        <f t="shared" ref="G189:G191" si="16">E189*F189</f>
        <v>48700</v>
      </c>
      <c r="M189" s="69"/>
    </row>
    <row r="190" spans="1:13" ht="15" customHeight="1">
      <c r="A190" s="70"/>
      <c r="D190" s="38"/>
      <c r="G190" s="13"/>
      <c r="M190" s="69"/>
    </row>
    <row r="191" spans="1:13" ht="15" customHeight="1">
      <c r="A191" s="70"/>
      <c r="B191" s="2" t="s">
        <v>135</v>
      </c>
      <c r="C191" t="s">
        <v>169</v>
      </c>
      <c r="D191" s="38">
        <v>45877</v>
      </c>
      <c r="E191" s="53">
        <v>546</v>
      </c>
      <c r="F191" s="2">
        <v>10</v>
      </c>
      <c r="G191" s="13">
        <f t="shared" si="16"/>
        <v>5460</v>
      </c>
      <c r="M191" s="69"/>
    </row>
    <row r="192" spans="1:13" ht="15" customHeight="1">
      <c r="A192" s="76"/>
      <c r="B192" s="45"/>
      <c r="C192" s="44"/>
      <c r="D192" s="46"/>
      <c r="E192" s="55"/>
      <c r="F192" s="45"/>
      <c r="G192" s="47"/>
      <c r="H192" s="52"/>
      <c r="I192" s="45"/>
      <c r="J192" s="45"/>
      <c r="K192" s="48"/>
      <c r="L192" s="45"/>
      <c r="M192" s="82"/>
    </row>
    <row r="193" spans="1:14">
      <c r="A193" s="80" t="s">
        <v>170</v>
      </c>
      <c r="D193" s="38"/>
      <c r="G193" s="13"/>
      <c r="M193" s="69"/>
    </row>
    <row r="194" spans="1:14">
      <c r="A194" s="70" t="s">
        <v>131</v>
      </c>
      <c r="B194" s="2" t="s">
        <v>135</v>
      </c>
      <c r="C194" t="s">
        <v>171</v>
      </c>
      <c r="D194" s="38">
        <v>45512</v>
      </c>
      <c r="E194" s="53">
        <v>450</v>
      </c>
      <c r="F194" s="2">
        <v>50</v>
      </c>
      <c r="G194" s="13">
        <f t="shared" ref="G194:G197" si="17">E194*F194</f>
        <v>22500</v>
      </c>
      <c r="M194" s="69"/>
    </row>
    <row r="195" spans="1:14">
      <c r="A195" s="70"/>
      <c r="B195" s="2" t="s">
        <v>135</v>
      </c>
      <c r="C195" s="77" t="s">
        <v>171</v>
      </c>
      <c r="D195" s="38">
        <v>45532</v>
      </c>
      <c r="F195" s="2">
        <v>50</v>
      </c>
      <c r="G195" s="13"/>
      <c r="H195" s="15">
        <v>454.9</v>
      </c>
      <c r="I195" s="2">
        <f>H195*F195</f>
        <v>22745</v>
      </c>
      <c r="K195" s="72">
        <f>I195-SUM(G194)</f>
        <v>245</v>
      </c>
      <c r="M195" s="69"/>
    </row>
    <row r="196" spans="1:14">
      <c r="A196" s="70"/>
      <c r="D196" s="38"/>
      <c r="G196" s="13"/>
      <c r="K196" s="72"/>
      <c r="M196" s="69"/>
    </row>
    <row r="197" spans="1:14">
      <c r="A197" s="70"/>
      <c r="B197" s="2" t="s">
        <v>135</v>
      </c>
      <c r="C197" t="s">
        <v>172</v>
      </c>
      <c r="D197" s="38">
        <v>45560</v>
      </c>
      <c r="E197" s="53">
        <v>1711</v>
      </c>
      <c r="F197" s="2">
        <v>20</v>
      </c>
      <c r="G197" s="13">
        <f t="shared" si="17"/>
        <v>34220</v>
      </c>
      <c r="M197" s="69"/>
    </row>
    <row r="198" spans="1:14">
      <c r="A198" s="70"/>
      <c r="D198" s="38"/>
      <c r="G198" s="13"/>
      <c r="M198" s="69"/>
    </row>
    <row r="199" spans="1:14">
      <c r="A199" s="76"/>
      <c r="B199" s="45"/>
      <c r="C199" s="44"/>
      <c r="D199" s="46"/>
      <c r="E199" s="55"/>
      <c r="F199" s="45"/>
      <c r="G199" s="47"/>
      <c r="H199" s="52"/>
      <c r="I199" s="45"/>
      <c r="J199" s="45"/>
      <c r="K199" s="48"/>
      <c r="L199" s="45"/>
      <c r="M199" s="82"/>
      <c r="N199" s="81"/>
    </row>
    <row r="200" spans="1:14">
      <c r="A200" s="70" t="s">
        <v>173</v>
      </c>
      <c r="D200" s="38"/>
      <c r="G200" s="13"/>
      <c r="L200" s="17"/>
      <c r="M200" s="69"/>
      <c r="N200" s="81"/>
    </row>
    <row r="201" spans="1:14">
      <c r="A201" s="70"/>
      <c r="B201" s="2" t="s">
        <v>132</v>
      </c>
      <c r="C201" t="s">
        <v>174</v>
      </c>
      <c r="D201" s="38">
        <v>45870</v>
      </c>
      <c r="E201" s="53">
        <v>3096.88</v>
      </c>
      <c r="F201" s="2">
        <v>20</v>
      </c>
      <c r="G201" s="13">
        <f>E201*F201</f>
        <v>61937.600000000006</v>
      </c>
      <c r="M201" s="69"/>
      <c r="N201" s="81"/>
    </row>
    <row r="202" spans="1:14">
      <c r="A202" s="70"/>
      <c r="B202" s="2" t="s">
        <v>132</v>
      </c>
      <c r="C202" t="s">
        <v>174</v>
      </c>
      <c r="D202" s="38">
        <v>45870</v>
      </c>
      <c r="E202" s="53">
        <v>3092</v>
      </c>
      <c r="F202" s="2">
        <v>30</v>
      </c>
      <c r="G202" s="13">
        <f>E202*F202</f>
        <v>92760</v>
      </c>
      <c r="M202" s="69"/>
      <c r="N202" s="81"/>
    </row>
    <row r="203" spans="1:14">
      <c r="A203" s="70"/>
      <c r="B203" s="2" t="s">
        <v>132</v>
      </c>
      <c r="C203" s="75" t="s">
        <v>174</v>
      </c>
      <c r="D203" s="38">
        <v>45872</v>
      </c>
      <c r="F203" s="2">
        <v>50</v>
      </c>
      <c r="G203" s="13"/>
      <c r="H203" s="15">
        <v>3091</v>
      </c>
      <c r="I203" s="2">
        <f>H203*F203</f>
        <v>154550</v>
      </c>
      <c r="K203" s="72">
        <f>I203-SUM(G201:G202)</f>
        <v>-147.60000000000582</v>
      </c>
      <c r="M203" s="69"/>
    </row>
    <row r="204" spans="1:14">
      <c r="A204" s="70"/>
      <c r="C204" s="75"/>
      <c r="D204" s="38"/>
      <c r="G204" s="13"/>
      <c r="K204" s="72"/>
      <c r="M204" s="69"/>
    </row>
    <row r="205" spans="1:14">
      <c r="A205" s="70" t="s">
        <v>131</v>
      </c>
      <c r="B205" s="2" t="s">
        <v>135</v>
      </c>
      <c r="C205" t="s">
        <v>175</v>
      </c>
      <c r="D205" s="38">
        <v>45866</v>
      </c>
      <c r="E205" s="53">
        <v>3245</v>
      </c>
      <c r="F205" s="2">
        <v>10</v>
      </c>
      <c r="G205" s="13">
        <f t="shared" ref="G205" si="18">E205*F205</f>
        <v>32450</v>
      </c>
      <c r="M205" s="69"/>
    </row>
    <row r="206" spans="1:14">
      <c r="A206" s="70"/>
      <c r="B206" s="2" t="s">
        <v>135</v>
      </c>
      <c r="C206" t="s">
        <v>175</v>
      </c>
      <c r="D206" s="38">
        <v>45915</v>
      </c>
      <c r="E206" s="53">
        <v>3110</v>
      </c>
      <c r="F206" s="2">
        <v>10</v>
      </c>
      <c r="G206" s="13">
        <f>F206*E206</f>
        <v>31100</v>
      </c>
      <c r="M206" s="69"/>
      <c r="N206" s="81"/>
    </row>
    <row r="207" spans="1:14">
      <c r="A207" s="70"/>
      <c r="D207" s="38"/>
      <c r="G207" s="13"/>
      <c r="M207" s="69"/>
      <c r="N207" s="81"/>
    </row>
    <row r="208" spans="1:14">
      <c r="A208" s="76"/>
      <c r="D208" s="38"/>
      <c r="G208" s="13"/>
      <c r="H208" s="52"/>
      <c r="I208" s="45"/>
      <c r="J208" s="45"/>
      <c r="K208" s="48"/>
      <c r="M208" s="82"/>
    </row>
    <row r="209" spans="1:13">
      <c r="A209" s="68" t="s">
        <v>176</v>
      </c>
      <c r="B209" s="27"/>
      <c r="C209" s="26"/>
      <c r="D209" s="27"/>
      <c r="E209" s="54"/>
      <c r="F209" s="27"/>
      <c r="G209" s="27"/>
      <c r="H209" s="51"/>
      <c r="I209" s="27"/>
      <c r="J209" s="27"/>
      <c r="K209" s="29"/>
      <c r="L209" s="27"/>
      <c r="M209" s="69"/>
    </row>
    <row r="210" spans="1:13">
      <c r="A210" s="70" t="s">
        <v>131</v>
      </c>
      <c r="B210" s="2" t="s">
        <v>132</v>
      </c>
      <c r="C210" t="s">
        <v>177</v>
      </c>
      <c r="D210" s="38">
        <v>45207</v>
      </c>
      <c r="E210" s="53">
        <v>124.8</v>
      </c>
      <c r="F210" s="2">
        <v>45</v>
      </c>
      <c r="G210" s="13">
        <f t="shared" ref="G210" si="19">E210*F210</f>
        <v>5616</v>
      </c>
      <c r="M210" s="69"/>
    </row>
    <row r="211" spans="1:13">
      <c r="A211" s="70"/>
      <c r="B211" s="2" t="s">
        <v>132</v>
      </c>
      <c r="C211" s="77" t="s">
        <v>177</v>
      </c>
      <c r="D211" s="38">
        <v>45334</v>
      </c>
      <c r="E211" s="53">
        <v>140.69999999999999</v>
      </c>
      <c r="F211" s="2">
        <v>45</v>
      </c>
      <c r="I211" s="2">
        <f>E211*F211</f>
        <v>6331.4999999999991</v>
      </c>
      <c r="K211" s="72">
        <f>I211-G210</f>
        <v>715.49999999999909</v>
      </c>
      <c r="M211" s="69"/>
    </row>
    <row r="212" spans="1:13">
      <c r="A212" s="70"/>
      <c r="D212" s="38"/>
      <c r="G212" s="13"/>
      <c r="L212" s="45"/>
      <c r="M212" s="82"/>
    </row>
    <row r="213" spans="1:13">
      <c r="A213" s="68" t="s">
        <v>178</v>
      </c>
      <c r="B213" s="27"/>
      <c r="C213" s="26"/>
      <c r="D213" s="27"/>
      <c r="E213" s="54"/>
      <c r="F213" s="27"/>
      <c r="G213" s="27"/>
      <c r="H213" s="51"/>
      <c r="I213" s="27"/>
      <c r="J213" s="27"/>
      <c r="K213" s="29"/>
      <c r="M213" s="69"/>
    </row>
    <row r="214" spans="1:13">
      <c r="A214" s="70" t="s">
        <v>138</v>
      </c>
      <c r="B214" s="2" t="s">
        <v>132</v>
      </c>
      <c r="C214" t="s">
        <v>179</v>
      </c>
      <c r="D214" s="38">
        <v>45217</v>
      </c>
      <c r="E214" s="53">
        <v>153.5</v>
      </c>
      <c r="F214" s="2">
        <v>32</v>
      </c>
      <c r="G214" s="13">
        <f t="shared" ref="G214:G223" si="20">E214*F214</f>
        <v>4912</v>
      </c>
      <c r="M214" s="69"/>
    </row>
    <row r="215" spans="1:13">
      <c r="A215" s="70"/>
      <c r="B215" s="2" t="s">
        <v>132</v>
      </c>
      <c r="C215" s="77" t="s">
        <v>179</v>
      </c>
      <c r="D215" s="38">
        <v>45334</v>
      </c>
      <c r="F215" s="2">
        <v>32</v>
      </c>
      <c r="G215" s="13"/>
      <c r="H215" s="15">
        <v>223.3</v>
      </c>
      <c r="I215" s="2">
        <f>H215*F215</f>
        <v>7145.6</v>
      </c>
      <c r="K215" s="72">
        <f>I215-G214</f>
        <v>2233.6000000000004</v>
      </c>
      <c r="M215" s="69"/>
    </row>
    <row r="216" spans="1:13">
      <c r="A216" s="70"/>
      <c r="B216" s="2" t="s">
        <v>132</v>
      </c>
      <c r="C216" t="s">
        <v>179</v>
      </c>
      <c r="D216" s="38">
        <v>45820</v>
      </c>
      <c r="E216" s="53">
        <v>209.79</v>
      </c>
      <c r="F216" s="2">
        <v>1</v>
      </c>
      <c r="G216" s="13">
        <f>E216*F216</f>
        <v>209.79</v>
      </c>
      <c r="K216" s="72"/>
      <c r="M216" s="69"/>
    </row>
    <row r="217" spans="1:13">
      <c r="A217" s="70"/>
      <c r="B217" s="2" t="s">
        <v>132</v>
      </c>
      <c r="C217" t="s">
        <v>179</v>
      </c>
      <c r="D217" s="38">
        <v>45820</v>
      </c>
      <c r="E217" s="53">
        <v>210.69</v>
      </c>
      <c r="F217" s="2">
        <v>6</v>
      </c>
      <c r="G217" s="13">
        <f>E217*F217</f>
        <v>1264.1399999999999</v>
      </c>
      <c r="K217" s="72"/>
      <c r="M217" s="69"/>
    </row>
    <row r="218" spans="1:13">
      <c r="A218" s="70"/>
      <c r="B218" s="2" t="s">
        <v>132</v>
      </c>
      <c r="C218" t="s">
        <v>179</v>
      </c>
      <c r="D218" s="38">
        <v>45820</v>
      </c>
      <c r="E218" s="53">
        <v>211.05</v>
      </c>
      <c r="F218" s="2">
        <v>2</v>
      </c>
      <c r="G218" s="13">
        <f>E218*F218</f>
        <v>422.1</v>
      </c>
      <c r="K218" s="72"/>
      <c r="M218" s="69"/>
    </row>
    <row r="219" spans="1:13">
      <c r="A219" s="70"/>
      <c r="B219" s="2" t="s">
        <v>132</v>
      </c>
      <c r="C219" t="s">
        <v>179</v>
      </c>
      <c r="D219" s="38">
        <v>45820</v>
      </c>
      <c r="E219" s="53">
        <v>211</v>
      </c>
      <c r="F219" s="2">
        <v>100</v>
      </c>
      <c r="G219" s="13">
        <f>E219*F219</f>
        <v>21100</v>
      </c>
      <c r="K219" s="72"/>
      <c r="M219" s="69"/>
    </row>
    <row r="220" spans="1:13">
      <c r="A220" s="70"/>
      <c r="B220" s="2" t="s">
        <v>132</v>
      </c>
      <c r="C220" t="s">
        <v>179</v>
      </c>
      <c r="D220" s="38">
        <v>45821</v>
      </c>
      <c r="E220" s="53">
        <v>232</v>
      </c>
      <c r="F220" s="2">
        <v>11</v>
      </c>
      <c r="G220" s="13">
        <f t="shared" ref="G220" si="21">E220*F220</f>
        <v>2552</v>
      </c>
      <c r="K220" s="72"/>
      <c r="M220" s="69"/>
    </row>
    <row r="221" spans="1:13">
      <c r="A221" s="70"/>
      <c r="B221" s="2" t="s">
        <v>132</v>
      </c>
      <c r="C221" s="77" t="s">
        <v>179</v>
      </c>
      <c r="D221" s="38">
        <v>45860</v>
      </c>
      <c r="F221" s="2">
        <v>120</v>
      </c>
      <c r="G221" s="30"/>
      <c r="H221" s="15">
        <v>217.8</v>
      </c>
      <c r="I221" s="2">
        <f>H221*F221</f>
        <v>26136</v>
      </c>
      <c r="K221" s="72">
        <f>I221-SUM(G216:G220)</f>
        <v>587.97000000000116</v>
      </c>
      <c r="M221" s="69"/>
    </row>
    <row r="222" spans="1:13">
      <c r="A222" s="70"/>
      <c r="D222" s="38"/>
      <c r="G222" s="13"/>
      <c r="K222" s="72"/>
      <c r="M222" s="69"/>
    </row>
    <row r="223" spans="1:13">
      <c r="A223" s="70"/>
      <c r="B223" s="2" t="s">
        <v>135</v>
      </c>
      <c r="C223" t="s">
        <v>179</v>
      </c>
      <c r="D223" s="38">
        <v>45553</v>
      </c>
      <c r="E223" s="53">
        <v>246</v>
      </c>
      <c r="F223" s="2">
        <v>11</v>
      </c>
      <c r="G223" s="13">
        <f t="shared" si="20"/>
        <v>2706</v>
      </c>
      <c r="K223" s="72"/>
      <c r="M223" s="69"/>
    </row>
    <row r="224" spans="1:13">
      <c r="A224" s="70"/>
      <c r="B224" s="2" t="s">
        <v>135</v>
      </c>
      <c r="C224" s="75" t="s">
        <v>179</v>
      </c>
      <c r="D224" s="38">
        <v>45629</v>
      </c>
      <c r="F224" s="2">
        <v>11</v>
      </c>
      <c r="G224" s="30"/>
      <c r="H224" s="15">
        <v>237.1</v>
      </c>
      <c r="I224" s="2">
        <f>H224*F224</f>
        <v>2608.1</v>
      </c>
      <c r="K224" s="72">
        <f>I224-SUM(G223)</f>
        <v>-97.900000000000091</v>
      </c>
      <c r="M224" s="69"/>
    </row>
    <row r="225" spans="1:14">
      <c r="A225" s="70"/>
      <c r="C225" s="77"/>
      <c r="D225" s="38"/>
      <c r="G225" s="30"/>
      <c r="K225" s="72"/>
      <c r="M225" s="69"/>
    </row>
    <row r="226" spans="1:14">
      <c r="A226" s="70"/>
      <c r="B226" s="2" t="s">
        <v>135</v>
      </c>
      <c r="C226" t="s">
        <v>180</v>
      </c>
      <c r="D226" s="38">
        <v>45924</v>
      </c>
      <c r="E226" s="53">
        <v>2700</v>
      </c>
      <c r="F226" s="2">
        <v>10</v>
      </c>
      <c r="G226" s="30">
        <f t="shared" ref="G226" si="22">E226*F226</f>
        <v>27000</v>
      </c>
      <c r="K226" s="72"/>
      <c r="M226" s="69"/>
    </row>
    <row r="227" spans="1:14">
      <c r="A227" s="70"/>
      <c r="D227" s="38"/>
      <c r="G227" s="30"/>
      <c r="K227" s="72"/>
      <c r="M227" s="69"/>
    </row>
    <row r="228" spans="1:14">
      <c r="A228" s="70"/>
      <c r="B228" s="2" t="s">
        <v>135</v>
      </c>
      <c r="C228" t="s">
        <v>181</v>
      </c>
      <c r="D228" s="38">
        <v>45925</v>
      </c>
      <c r="E228" s="53">
        <v>1020</v>
      </c>
      <c r="F228" s="2">
        <v>50</v>
      </c>
      <c r="G228" s="30">
        <f t="shared" ref="G228" si="23">E228*F228</f>
        <v>51000</v>
      </c>
      <c r="K228" s="72"/>
      <c r="M228" s="69"/>
    </row>
    <row r="229" spans="1:14">
      <c r="A229" s="70"/>
      <c r="D229" s="38"/>
      <c r="G229" s="13"/>
      <c r="K229" s="72"/>
      <c r="M229" s="69"/>
    </row>
    <row r="230" spans="1:14">
      <c r="A230" s="76"/>
      <c r="B230" s="45"/>
      <c r="C230" s="44"/>
      <c r="D230" s="46"/>
      <c r="E230" s="55"/>
      <c r="F230" s="45"/>
      <c r="G230" s="47"/>
      <c r="H230" s="52"/>
      <c r="I230" s="45"/>
      <c r="J230" s="45"/>
      <c r="K230" s="50"/>
      <c r="L230" s="45"/>
      <c r="M230" s="82"/>
      <c r="N230" s="81"/>
    </row>
    <row r="231" spans="1:14">
      <c r="A231" s="70" t="s">
        <v>182</v>
      </c>
      <c r="D231" s="38"/>
      <c r="G231" s="13"/>
      <c r="K231" s="72"/>
      <c r="M231" s="69"/>
    </row>
    <row r="232" spans="1:14" ht="13.95" customHeight="1">
      <c r="A232" s="70"/>
      <c r="B232" s="2" t="s">
        <v>135</v>
      </c>
      <c r="C232" t="s">
        <v>183</v>
      </c>
      <c r="D232" s="38">
        <v>45922</v>
      </c>
      <c r="E232" s="53">
        <v>336.3</v>
      </c>
      <c r="F232" s="2">
        <v>160</v>
      </c>
      <c r="G232" s="30">
        <f t="shared" ref="G232" si="24">E232*F232</f>
        <v>53808</v>
      </c>
      <c r="K232" s="72"/>
      <c r="M232" s="69"/>
      <c r="N232" s="81"/>
    </row>
    <row r="233" spans="1:14">
      <c r="A233" s="70"/>
      <c r="D233" s="38"/>
      <c r="G233" s="30"/>
      <c r="K233" s="72"/>
      <c r="M233" s="69"/>
    </row>
    <row r="234" spans="1:14">
      <c r="A234" s="76"/>
      <c r="B234" s="45"/>
      <c r="C234" s="44"/>
      <c r="D234" s="46"/>
      <c r="E234" s="55"/>
      <c r="F234" s="45"/>
      <c r="G234" s="49"/>
      <c r="H234" s="52"/>
      <c r="I234" s="45"/>
      <c r="J234" s="45"/>
      <c r="K234" s="50"/>
      <c r="L234" s="45"/>
      <c r="M234" s="82"/>
    </row>
    <row r="235" spans="1:14">
      <c r="A235" s="70" t="s">
        <v>184</v>
      </c>
      <c r="D235" s="38"/>
      <c r="G235" s="30"/>
      <c r="K235" s="72"/>
      <c r="M235" s="69"/>
    </row>
    <row r="236" spans="1:14">
      <c r="A236" s="70" t="s">
        <v>131</v>
      </c>
      <c r="B236" s="2" t="s">
        <v>132</v>
      </c>
      <c r="C236" t="s">
        <v>185</v>
      </c>
      <c r="D236" s="38">
        <v>45880</v>
      </c>
      <c r="E236" s="53">
        <v>779.4</v>
      </c>
      <c r="F236" s="2">
        <v>50</v>
      </c>
      <c r="G236" s="13">
        <f t="shared" ref="G236:G241" si="25">E236*F236</f>
        <v>38970</v>
      </c>
      <c r="K236" s="72"/>
      <c r="M236" s="69"/>
    </row>
    <row r="237" spans="1:14">
      <c r="A237" s="70"/>
      <c r="D237" s="38"/>
      <c r="G237" s="13"/>
      <c r="K237" s="72"/>
      <c r="M237" s="69"/>
    </row>
    <row r="238" spans="1:14">
      <c r="A238" s="70"/>
      <c r="B238" s="2" t="s">
        <v>135</v>
      </c>
      <c r="C238" t="s">
        <v>185</v>
      </c>
      <c r="D238" s="38">
        <v>45849</v>
      </c>
      <c r="E238" s="53">
        <v>933</v>
      </c>
      <c r="F238" s="2">
        <v>50</v>
      </c>
      <c r="G238" s="13">
        <f t="shared" si="25"/>
        <v>46650</v>
      </c>
      <c r="K238" s="72"/>
      <c r="M238" s="69"/>
    </row>
    <row r="239" spans="1:14">
      <c r="A239" s="70"/>
      <c r="B239" s="2" t="s">
        <v>135</v>
      </c>
      <c r="C239" s="77" t="s">
        <v>185</v>
      </c>
      <c r="D239" s="38">
        <v>45922</v>
      </c>
      <c r="F239" s="2">
        <v>50</v>
      </c>
      <c r="G239" s="13"/>
      <c r="H239" s="15">
        <v>949.31</v>
      </c>
      <c r="I239" s="2">
        <f>H239*F239</f>
        <v>47465.5</v>
      </c>
      <c r="K239" s="72">
        <f>I239-SUM(G238)</f>
        <v>815.5</v>
      </c>
      <c r="M239" s="69"/>
    </row>
    <row r="240" spans="1:14">
      <c r="A240" s="70"/>
      <c r="D240" s="38"/>
      <c r="G240" s="13"/>
      <c r="K240" s="72"/>
      <c r="M240" s="69"/>
    </row>
    <row r="241" spans="1:13">
      <c r="A241" s="70" t="s">
        <v>138</v>
      </c>
      <c r="B241" s="2" t="s">
        <v>135</v>
      </c>
      <c r="C241" t="s">
        <v>186</v>
      </c>
      <c r="D241" s="38">
        <v>45852</v>
      </c>
      <c r="E241" s="53">
        <v>1145</v>
      </c>
      <c r="F241" s="2">
        <v>15</v>
      </c>
      <c r="G241" s="13">
        <f t="shared" si="25"/>
        <v>17175</v>
      </c>
      <c r="K241" s="72"/>
      <c r="M241" s="69"/>
    </row>
    <row r="242" spans="1:13">
      <c r="A242" s="70"/>
      <c r="B242" s="2" t="s">
        <v>135</v>
      </c>
      <c r="C242" s="77" t="s">
        <v>186</v>
      </c>
      <c r="D242" s="38">
        <v>45881</v>
      </c>
      <c r="F242" s="2">
        <v>15</v>
      </c>
      <c r="G242" s="13"/>
      <c r="H242" s="15">
        <v>1172</v>
      </c>
      <c r="I242" s="2">
        <f>H242*F242</f>
        <v>17580</v>
      </c>
      <c r="K242" s="72">
        <f>I242-SUM(G241)</f>
        <v>405</v>
      </c>
      <c r="M242" s="69"/>
    </row>
    <row r="243" spans="1:13">
      <c r="A243" s="76"/>
      <c r="B243" s="45"/>
      <c r="C243" s="44"/>
      <c r="D243" s="46"/>
      <c r="E243" s="55"/>
      <c r="F243" s="45"/>
      <c r="G243" s="47"/>
      <c r="H243" s="52"/>
      <c r="I243" s="45"/>
      <c r="J243" s="45"/>
      <c r="K243" s="48"/>
      <c r="L243" s="45"/>
      <c r="M243" s="82"/>
    </row>
    <row r="244" spans="1:13">
      <c r="A244" s="70" t="s">
        <v>187</v>
      </c>
      <c r="D244" s="38"/>
      <c r="G244" s="30"/>
      <c r="K244" s="72"/>
      <c r="M244" s="69"/>
    </row>
    <row r="245" spans="1:13">
      <c r="A245" s="70" t="s">
        <v>131</v>
      </c>
      <c r="B245" s="2" t="s">
        <v>132</v>
      </c>
      <c r="C245" t="s">
        <v>188</v>
      </c>
      <c r="D245" s="38">
        <v>45800</v>
      </c>
      <c r="E245" s="53">
        <v>718</v>
      </c>
      <c r="F245" s="2">
        <v>100</v>
      </c>
      <c r="G245" s="13">
        <f t="shared" ref="G245:G249" si="26">E245*F245</f>
        <v>71800</v>
      </c>
      <c r="K245" s="72"/>
      <c r="M245" s="69"/>
    </row>
    <row r="246" spans="1:13">
      <c r="A246" s="70"/>
      <c r="B246" s="2" t="s">
        <v>132</v>
      </c>
      <c r="C246" t="s">
        <v>188</v>
      </c>
      <c r="D246" s="38">
        <v>45803</v>
      </c>
      <c r="E246" s="53">
        <v>728</v>
      </c>
      <c r="F246" s="2">
        <v>17</v>
      </c>
      <c r="G246" s="13">
        <f t="shared" si="26"/>
        <v>12376</v>
      </c>
      <c r="K246" s="72"/>
      <c r="M246" s="69"/>
    </row>
    <row r="247" spans="1:13">
      <c r="A247" s="70"/>
      <c r="B247" s="2" t="s">
        <v>132</v>
      </c>
      <c r="C247" t="s">
        <v>188</v>
      </c>
      <c r="D247" s="38">
        <v>45810</v>
      </c>
      <c r="E247" s="53">
        <v>711</v>
      </c>
      <c r="F247" s="2">
        <v>100</v>
      </c>
      <c r="G247" s="13">
        <f t="shared" ref="G247" si="27">E247*F247</f>
        <v>71100</v>
      </c>
      <c r="K247" s="72"/>
      <c r="M247" s="69"/>
    </row>
    <row r="248" spans="1:13">
      <c r="A248" s="70"/>
      <c r="B248" s="2" t="s">
        <v>132</v>
      </c>
      <c r="C248" t="s">
        <v>188</v>
      </c>
      <c r="D248" s="38">
        <v>45812</v>
      </c>
      <c r="E248" s="53">
        <v>707</v>
      </c>
      <c r="F248" s="2">
        <v>76</v>
      </c>
      <c r="G248" s="13">
        <f t="shared" si="26"/>
        <v>53732</v>
      </c>
      <c r="K248" s="72"/>
      <c r="M248" s="69"/>
    </row>
    <row r="249" spans="1:13">
      <c r="A249" s="70"/>
      <c r="B249" s="2" t="s">
        <v>132</v>
      </c>
      <c r="C249" t="s">
        <v>188</v>
      </c>
      <c r="D249" s="38">
        <v>45812</v>
      </c>
      <c r="E249" s="53">
        <v>706.95</v>
      </c>
      <c r="F249" s="2">
        <v>7</v>
      </c>
      <c r="G249" s="13">
        <f t="shared" si="26"/>
        <v>4948.6500000000005</v>
      </c>
      <c r="K249" s="72"/>
      <c r="M249" s="69"/>
    </row>
    <row r="250" spans="1:13">
      <c r="A250" s="70"/>
      <c r="B250" s="2" t="s">
        <v>132</v>
      </c>
      <c r="C250" s="75" t="s">
        <v>188</v>
      </c>
      <c r="D250" s="38">
        <v>45826</v>
      </c>
      <c r="F250" s="2">
        <v>300</v>
      </c>
      <c r="G250" s="13"/>
      <c r="H250" s="53">
        <v>669.7</v>
      </c>
      <c r="I250" s="2">
        <f>H250*F250</f>
        <v>200910</v>
      </c>
      <c r="K250" s="72">
        <f>I250-SUM(G245:G249)</f>
        <v>-13046.649999999994</v>
      </c>
      <c r="M250" s="69"/>
    </row>
    <row r="251" spans="1:13">
      <c r="A251" s="70"/>
      <c r="D251" s="38"/>
      <c r="G251" s="13"/>
      <c r="K251" s="72"/>
      <c r="M251" s="69"/>
    </row>
    <row r="252" spans="1:13">
      <c r="A252" s="70"/>
      <c r="B252" s="2" t="s">
        <v>135</v>
      </c>
      <c r="C252" t="s">
        <v>188</v>
      </c>
      <c r="D252" s="38">
        <v>45792</v>
      </c>
      <c r="E252" s="53">
        <v>700</v>
      </c>
      <c r="F252" s="2">
        <v>10</v>
      </c>
      <c r="G252" s="13">
        <f t="shared" ref="G252:G254" si="28">E252*F252</f>
        <v>7000</v>
      </c>
      <c r="K252" s="72"/>
      <c r="M252" s="73"/>
    </row>
    <row r="253" spans="1:13">
      <c r="A253" s="70"/>
      <c r="B253" s="2" t="s">
        <v>135</v>
      </c>
      <c r="C253" t="s">
        <v>188</v>
      </c>
      <c r="D253" s="38">
        <v>45796</v>
      </c>
      <c r="E253" s="53">
        <v>731</v>
      </c>
      <c r="F253" s="2">
        <v>90</v>
      </c>
      <c r="G253" s="13">
        <f t="shared" si="28"/>
        <v>65790</v>
      </c>
      <c r="K253" s="72"/>
      <c r="M253" s="73"/>
    </row>
    <row r="254" spans="1:13">
      <c r="A254" s="70"/>
      <c r="B254" s="2" t="s">
        <v>135</v>
      </c>
      <c r="C254" t="s">
        <v>188</v>
      </c>
      <c r="D254" s="38">
        <v>45798</v>
      </c>
      <c r="E254" s="53">
        <v>725</v>
      </c>
      <c r="F254" s="2">
        <v>50</v>
      </c>
      <c r="G254" s="13">
        <f t="shared" si="28"/>
        <v>36250</v>
      </c>
      <c r="K254" s="72"/>
      <c r="M254" s="73"/>
    </row>
    <row r="255" spans="1:13">
      <c r="A255" s="70"/>
      <c r="B255" s="2" t="s">
        <v>135</v>
      </c>
      <c r="C255" s="75" t="s">
        <v>188</v>
      </c>
      <c r="D255" s="38">
        <v>45812</v>
      </c>
      <c r="F255" s="2">
        <v>150</v>
      </c>
      <c r="G255" s="13"/>
      <c r="H255" s="15">
        <v>669.3</v>
      </c>
      <c r="I255" s="2">
        <f>H255*F255</f>
        <v>100395</v>
      </c>
      <c r="K255" s="72">
        <f>I255-SUM(G252:G254)</f>
        <v>-8645</v>
      </c>
      <c r="M255" s="69"/>
    </row>
    <row r="256" spans="1:13">
      <c r="A256" s="70"/>
      <c r="L256" s="45"/>
      <c r="M256" s="82"/>
    </row>
    <row r="257" spans="1:13">
      <c r="A257" s="68" t="s">
        <v>189</v>
      </c>
      <c r="B257" s="27"/>
      <c r="C257" s="26"/>
      <c r="D257" s="39"/>
      <c r="E257" s="54"/>
      <c r="F257" s="27"/>
      <c r="G257" s="28"/>
      <c r="H257" s="51"/>
      <c r="I257" s="27"/>
      <c r="J257" s="27"/>
      <c r="K257" s="29"/>
      <c r="M257" s="69"/>
    </row>
    <row r="258" spans="1:13">
      <c r="A258" s="70" t="s">
        <v>155</v>
      </c>
      <c r="B258" s="2" t="s">
        <v>132</v>
      </c>
      <c r="C258" t="s">
        <v>190</v>
      </c>
      <c r="D258" s="38">
        <v>45251</v>
      </c>
      <c r="E258" s="53">
        <v>3.45</v>
      </c>
      <c r="F258" s="2">
        <v>3000</v>
      </c>
      <c r="G258" s="13">
        <f t="shared" ref="G258:G268" si="29">E258*F258</f>
        <v>10350</v>
      </c>
      <c r="M258" s="73">
        <f>(SUM(K213:K215)/SUM(G213:G215))</f>
        <v>0.45472312703583068</v>
      </c>
    </row>
    <row r="259" spans="1:13">
      <c r="A259" s="70"/>
      <c r="B259" s="2" t="s">
        <v>132</v>
      </c>
      <c r="D259" s="38">
        <v>45279</v>
      </c>
      <c r="E259" s="53">
        <v>3.3</v>
      </c>
      <c r="F259" s="2">
        <v>1100</v>
      </c>
      <c r="G259" s="13">
        <f t="shared" si="29"/>
        <v>3630</v>
      </c>
      <c r="M259" s="73"/>
    </row>
    <row r="260" spans="1:13">
      <c r="A260" s="70"/>
      <c r="B260" s="2" t="s">
        <v>132</v>
      </c>
      <c r="D260" s="38">
        <v>45306</v>
      </c>
      <c r="E260" s="53">
        <v>5.17</v>
      </c>
      <c r="F260" s="2">
        <v>95</v>
      </c>
      <c r="G260" s="13">
        <f t="shared" si="29"/>
        <v>491.15</v>
      </c>
      <c r="M260" s="69"/>
    </row>
    <row r="261" spans="1:13">
      <c r="A261" s="70"/>
      <c r="B261" s="2" t="s">
        <v>132</v>
      </c>
      <c r="D261" s="38">
        <v>45307</v>
      </c>
      <c r="E261" s="53">
        <v>4.92</v>
      </c>
      <c r="F261" s="2">
        <v>27</v>
      </c>
      <c r="G261" s="13">
        <f t="shared" si="29"/>
        <v>132.84</v>
      </c>
      <c r="M261" s="69"/>
    </row>
    <row r="262" spans="1:13">
      <c r="A262" s="70"/>
      <c r="B262" s="2" t="s">
        <v>134</v>
      </c>
      <c r="D262" s="38">
        <v>45310</v>
      </c>
      <c r="E262" s="53">
        <v>5.48</v>
      </c>
      <c r="F262" s="2">
        <v>5500</v>
      </c>
      <c r="G262" s="13">
        <f t="shared" si="29"/>
        <v>30140.000000000004</v>
      </c>
      <c r="M262" s="69"/>
    </row>
    <row r="263" spans="1:13">
      <c r="A263" s="70"/>
      <c r="B263" s="2" t="s">
        <v>132</v>
      </c>
      <c r="C263" s="71" t="s">
        <v>191</v>
      </c>
      <c r="D263" s="38">
        <v>45323</v>
      </c>
      <c r="E263" s="53">
        <v>5.26</v>
      </c>
      <c r="F263" s="2">
        <v>4222</v>
      </c>
      <c r="I263" s="13">
        <f>E263*F263</f>
        <v>22207.719999999998</v>
      </c>
      <c r="K263" s="72">
        <f>SUM(I263)-SUM(G258:G261)</f>
        <v>7603.7299999999977</v>
      </c>
      <c r="M263" s="69"/>
    </row>
    <row r="264" spans="1:13">
      <c r="A264" s="70"/>
      <c r="B264" s="2" t="s">
        <v>134</v>
      </c>
      <c r="C264" s="74" t="s">
        <v>191</v>
      </c>
      <c r="D264" s="38">
        <v>45323</v>
      </c>
      <c r="E264" s="53">
        <v>5.26</v>
      </c>
      <c r="F264" s="2">
        <v>5500</v>
      </c>
      <c r="G264" s="13"/>
      <c r="I264" s="13">
        <f>E264*F264</f>
        <v>28930</v>
      </c>
      <c r="K264" s="72">
        <f>SUM(I264)-SUM(G262)</f>
        <v>-1210.0000000000036</v>
      </c>
      <c r="M264" s="69"/>
    </row>
    <row r="265" spans="1:13">
      <c r="A265" s="70"/>
      <c r="B265" s="2" t="s">
        <v>134</v>
      </c>
      <c r="D265" s="38">
        <v>45329</v>
      </c>
      <c r="E265" s="53">
        <v>6.04</v>
      </c>
      <c r="F265" s="2">
        <v>50</v>
      </c>
      <c r="G265" s="13">
        <f t="shared" si="29"/>
        <v>302</v>
      </c>
      <c r="M265" s="69"/>
    </row>
    <row r="266" spans="1:13">
      <c r="A266" s="70"/>
      <c r="B266" s="2" t="s">
        <v>134</v>
      </c>
      <c r="D266" s="38">
        <v>45331</v>
      </c>
      <c r="E266" s="53">
        <v>6.65</v>
      </c>
      <c r="F266" s="2">
        <v>905</v>
      </c>
      <c r="G266" s="13">
        <f t="shared" si="29"/>
        <v>6018.25</v>
      </c>
      <c r="M266" s="69"/>
    </row>
    <row r="267" spans="1:13">
      <c r="A267" s="70"/>
      <c r="C267" s="74" t="s">
        <v>191</v>
      </c>
      <c r="D267" s="38">
        <v>45391</v>
      </c>
      <c r="F267" s="2">
        <v>955</v>
      </c>
      <c r="G267" s="13"/>
      <c r="H267" s="15">
        <v>4.05</v>
      </c>
      <c r="I267" s="13">
        <f>H267*F267</f>
        <v>3867.75</v>
      </c>
      <c r="K267" s="72">
        <f>SUM(I267)-SUM(G265:G266)</f>
        <v>-2452.5</v>
      </c>
      <c r="M267" s="69"/>
    </row>
    <row r="268" spans="1:13">
      <c r="A268" s="70"/>
      <c r="B268" s="2" t="s">
        <v>135</v>
      </c>
      <c r="C268" t="s">
        <v>190</v>
      </c>
      <c r="D268" s="38">
        <v>45560</v>
      </c>
      <c r="E268" s="53">
        <v>5.01</v>
      </c>
      <c r="F268" s="2">
        <v>4</v>
      </c>
      <c r="G268" s="13">
        <f t="shared" si="29"/>
        <v>20.04</v>
      </c>
      <c r="I268" s="13"/>
      <c r="K268" s="72"/>
      <c r="M268" s="69"/>
    </row>
    <row r="269" spans="1:13">
      <c r="A269" s="70"/>
      <c r="B269" s="2" t="s">
        <v>135</v>
      </c>
      <c r="C269" s="74" t="s">
        <v>191</v>
      </c>
      <c r="D269" s="38">
        <v>45624</v>
      </c>
      <c r="F269" s="2">
        <v>4</v>
      </c>
      <c r="G269" s="13"/>
      <c r="H269" s="15">
        <v>4.1100000000000003</v>
      </c>
      <c r="I269" s="13">
        <f>H269*F269</f>
        <v>16.440000000000001</v>
      </c>
      <c r="K269" s="72"/>
      <c r="M269" s="69"/>
    </row>
    <row r="270" spans="1:13">
      <c r="A270" s="70" t="s">
        <v>153</v>
      </c>
      <c r="B270" s="2" t="s">
        <v>134</v>
      </c>
      <c r="C270" t="s">
        <v>192</v>
      </c>
      <c r="D270" s="38">
        <v>45307</v>
      </c>
      <c r="E270" s="53">
        <v>1.85</v>
      </c>
      <c r="F270" s="2">
        <v>1000</v>
      </c>
      <c r="G270" s="13">
        <f>E270*F270</f>
        <v>1850</v>
      </c>
      <c r="I270" s="13"/>
      <c r="K270" s="72"/>
      <c r="M270" s="69"/>
    </row>
    <row r="271" spans="1:13">
      <c r="A271" s="70"/>
      <c r="C271" s="71" t="s">
        <v>191</v>
      </c>
      <c r="D271" s="38">
        <v>45363</v>
      </c>
      <c r="E271" s="53">
        <v>2.31</v>
      </c>
      <c r="F271" s="2">
        <v>1000</v>
      </c>
      <c r="I271" s="13">
        <f>E271*F271</f>
        <v>2310</v>
      </c>
      <c r="K271" s="72">
        <f>SUM(I271)-SUM(G270)</f>
        <v>460</v>
      </c>
      <c r="M271" s="69"/>
    </row>
    <row r="272" spans="1:13">
      <c r="A272" s="70"/>
      <c r="D272" s="38"/>
      <c r="G272" s="13"/>
      <c r="L272" s="45"/>
      <c r="M272" s="82"/>
    </row>
    <row r="273" spans="1:13">
      <c r="A273" s="68" t="s">
        <v>193</v>
      </c>
      <c r="B273" s="27"/>
      <c r="C273" s="26"/>
      <c r="D273" s="27"/>
      <c r="E273" s="54"/>
      <c r="F273" s="27"/>
      <c r="G273" s="27"/>
      <c r="H273" s="51"/>
      <c r="I273" s="27"/>
      <c r="J273" s="27"/>
      <c r="K273" s="29"/>
      <c r="M273" s="73">
        <f>(SUM(K258:K267)/SUM(G258:G267))</f>
        <v>7.7181800806200074E-2</v>
      </c>
    </row>
    <row r="274" spans="1:13">
      <c r="A274" s="70" t="s">
        <v>131</v>
      </c>
      <c r="B274" s="2" t="s">
        <v>132</v>
      </c>
      <c r="C274" t="s">
        <v>194</v>
      </c>
      <c r="D274" s="38">
        <v>45253</v>
      </c>
      <c r="E274" s="53">
        <v>387.5</v>
      </c>
      <c r="F274" s="2">
        <v>30</v>
      </c>
      <c r="G274" s="13">
        <v>11625</v>
      </c>
      <c r="M274" s="69"/>
    </row>
    <row r="275" spans="1:13">
      <c r="A275" s="70"/>
      <c r="B275" s="2" t="s">
        <v>132</v>
      </c>
      <c r="C275" s="71" t="s">
        <v>191</v>
      </c>
      <c r="D275" s="38">
        <v>45309</v>
      </c>
      <c r="E275" s="53">
        <v>522.25</v>
      </c>
      <c r="F275" s="2">
        <v>30</v>
      </c>
      <c r="G275" s="13"/>
      <c r="I275" s="13">
        <f>E275*F275</f>
        <v>15667.5</v>
      </c>
      <c r="K275" s="72">
        <f>SUM(I275)-SUM(G274)</f>
        <v>4042.5</v>
      </c>
      <c r="M275" s="69"/>
    </row>
    <row r="276" spans="1:13" ht="15" customHeight="1">
      <c r="A276" s="70"/>
      <c r="B276" s="2" t="s">
        <v>132</v>
      </c>
      <c r="C276" t="s">
        <v>194</v>
      </c>
      <c r="D276" s="38"/>
      <c r="G276" s="13"/>
      <c r="I276" s="13"/>
      <c r="K276" s="72"/>
      <c r="M276" s="69"/>
    </row>
    <row r="277" spans="1:13" ht="15" customHeight="1">
      <c r="A277" s="70"/>
      <c r="B277" s="2" t="s">
        <v>132</v>
      </c>
      <c r="C277" t="s">
        <v>194</v>
      </c>
      <c r="D277" s="38"/>
      <c r="G277" s="13"/>
      <c r="I277" s="13"/>
      <c r="K277" s="72"/>
      <c r="M277" s="69"/>
    </row>
    <row r="278" spans="1:13">
      <c r="A278" s="70" t="s">
        <v>138</v>
      </c>
      <c r="B278" s="2" t="s">
        <v>132</v>
      </c>
      <c r="C278" t="s">
        <v>195</v>
      </c>
      <c r="D278" s="38">
        <v>45243</v>
      </c>
      <c r="E278" s="53">
        <v>20.65</v>
      </c>
      <c r="F278" s="2">
        <v>235</v>
      </c>
      <c r="G278" s="13">
        <f t="shared" ref="G278" si="30">E278*F278</f>
        <v>4852.75</v>
      </c>
      <c r="M278" s="73">
        <f>(SUM(K270:K271)/SUM(G270:G271))</f>
        <v>0.24864864864864866</v>
      </c>
    </row>
    <row r="279" spans="1:13">
      <c r="A279" s="70" t="s">
        <v>131</v>
      </c>
      <c r="B279" s="2" t="s">
        <v>132</v>
      </c>
      <c r="C279" t="s">
        <v>196</v>
      </c>
      <c r="D279" s="38">
        <v>45248</v>
      </c>
      <c r="E279" s="53">
        <v>42.6</v>
      </c>
      <c r="F279" s="2">
        <v>3</v>
      </c>
      <c r="G279" s="13">
        <f t="shared" ref="G279" si="31">E279*F279</f>
        <v>127.80000000000001</v>
      </c>
      <c r="M279" s="69"/>
    </row>
    <row r="280" spans="1:13">
      <c r="A280" s="70"/>
      <c r="B280" s="2" t="s">
        <v>132</v>
      </c>
      <c r="C280" s="71" t="s">
        <v>191</v>
      </c>
      <c r="D280" s="38">
        <v>45300</v>
      </c>
      <c r="E280" s="53">
        <v>43.7</v>
      </c>
      <c r="F280" s="2">
        <v>3</v>
      </c>
      <c r="I280" s="2">
        <f>E280*F280</f>
        <v>131.10000000000002</v>
      </c>
      <c r="K280" s="72">
        <f>SUM(I280)-G279</f>
        <v>3.3000000000000114</v>
      </c>
      <c r="M280" s="69"/>
    </row>
    <row r="281" spans="1:13">
      <c r="A281" s="70"/>
      <c r="B281" s="2" t="s">
        <v>132</v>
      </c>
      <c r="C281" s="71" t="s">
        <v>191</v>
      </c>
      <c r="D281" s="38">
        <v>45309</v>
      </c>
      <c r="E281" s="53">
        <v>29.35</v>
      </c>
      <c r="F281" s="2">
        <v>80</v>
      </c>
      <c r="I281" s="2">
        <f>E281*F281</f>
        <v>2348</v>
      </c>
      <c r="M281" s="69"/>
    </row>
    <row r="282" spans="1:13">
      <c r="A282" s="70"/>
      <c r="B282" s="2" t="s">
        <v>132</v>
      </c>
      <c r="C282" s="71" t="s">
        <v>191</v>
      </c>
      <c r="D282" s="38">
        <v>45334</v>
      </c>
      <c r="E282" s="53">
        <v>26.15</v>
      </c>
      <c r="F282" s="2">
        <v>155</v>
      </c>
      <c r="G282" s="13"/>
      <c r="I282" s="2">
        <f>E282*F282</f>
        <v>4053.25</v>
      </c>
      <c r="K282" s="72">
        <f>SUM(I281:I282)-G278</f>
        <v>1548.5</v>
      </c>
      <c r="M282" s="69"/>
    </row>
    <row r="283" spans="1:13">
      <c r="A283" s="70"/>
      <c r="B283" s="2" t="s">
        <v>132</v>
      </c>
      <c r="C283" t="s">
        <v>197</v>
      </c>
      <c r="D283" s="38">
        <v>45427</v>
      </c>
      <c r="E283" s="53">
        <v>12</v>
      </c>
      <c r="F283" s="2">
        <v>1</v>
      </c>
      <c r="G283" s="13">
        <f t="shared" ref="G283:G285" si="32">E283*F283</f>
        <v>12</v>
      </c>
      <c r="M283" s="69"/>
    </row>
    <row r="284" spans="1:13">
      <c r="A284" s="70"/>
      <c r="B284" s="2" t="s">
        <v>134</v>
      </c>
      <c r="C284" t="s">
        <v>197</v>
      </c>
      <c r="D284" s="38">
        <v>45427</v>
      </c>
      <c r="E284" s="53">
        <v>11.97</v>
      </c>
      <c r="F284" s="2">
        <v>4</v>
      </c>
      <c r="G284" s="13">
        <f t="shared" si="32"/>
        <v>47.88</v>
      </c>
      <c r="M284" s="69"/>
    </row>
    <row r="285" spans="1:13">
      <c r="A285" s="70"/>
      <c r="B285" s="2" t="s">
        <v>132</v>
      </c>
      <c r="C285" t="s">
        <v>197</v>
      </c>
      <c r="D285" s="38">
        <v>45435</v>
      </c>
      <c r="E285" s="53">
        <v>13.95</v>
      </c>
      <c r="F285" s="2">
        <v>914</v>
      </c>
      <c r="G285" s="13">
        <f t="shared" si="32"/>
        <v>12750.3</v>
      </c>
      <c r="M285" s="69"/>
    </row>
    <row r="286" spans="1:13">
      <c r="A286" s="70"/>
      <c r="B286" s="2" t="s">
        <v>134</v>
      </c>
      <c r="C286" t="s">
        <v>197</v>
      </c>
      <c r="D286" s="38">
        <v>45436</v>
      </c>
      <c r="E286" s="53">
        <v>15.2</v>
      </c>
      <c r="F286" s="2">
        <v>380</v>
      </c>
      <c r="G286" s="13">
        <f>E286*F286</f>
        <v>5776</v>
      </c>
      <c r="M286" s="69"/>
    </row>
    <row r="287" spans="1:13">
      <c r="A287" s="70"/>
      <c r="B287" s="2" t="s">
        <v>132</v>
      </c>
      <c r="C287" s="71" t="s">
        <v>191</v>
      </c>
      <c r="D287" s="38">
        <v>45441</v>
      </c>
      <c r="F287" s="2">
        <v>915</v>
      </c>
      <c r="G287" s="30"/>
      <c r="H287" s="15">
        <v>18</v>
      </c>
      <c r="I287" s="13">
        <f>H287*F287</f>
        <v>16470</v>
      </c>
      <c r="K287" s="72">
        <f>SUM(I287)-SUM(G285+G283)</f>
        <v>3707.7000000000007</v>
      </c>
      <c r="M287" s="69"/>
    </row>
    <row r="288" spans="1:13">
      <c r="A288" s="70"/>
      <c r="B288" s="2" t="s">
        <v>134</v>
      </c>
      <c r="C288" s="71" t="s">
        <v>191</v>
      </c>
      <c r="D288" s="38">
        <v>45442</v>
      </c>
      <c r="F288" s="2">
        <v>384</v>
      </c>
      <c r="G288" s="30"/>
      <c r="H288" s="15">
        <v>18.41</v>
      </c>
      <c r="I288" s="13">
        <f>H288*F288</f>
        <v>7069.4400000000005</v>
      </c>
      <c r="K288" s="72">
        <f>SUM(I288)-SUM(G286+G284)</f>
        <v>1245.5600000000004</v>
      </c>
      <c r="M288" s="69"/>
    </row>
    <row r="289" spans="1:13">
      <c r="A289" s="70"/>
      <c r="B289" s="2" t="s">
        <v>134</v>
      </c>
      <c r="C289" t="s">
        <v>197</v>
      </c>
      <c r="D289" s="38">
        <v>45553</v>
      </c>
      <c r="E289" s="53">
        <v>15.61</v>
      </c>
      <c r="F289" s="2">
        <v>30</v>
      </c>
      <c r="G289" s="13">
        <f>E289*F289</f>
        <v>468.29999999999995</v>
      </c>
      <c r="I289" s="13"/>
      <c r="K289" s="72"/>
      <c r="M289" s="69"/>
    </row>
    <row r="290" spans="1:13">
      <c r="A290" s="70"/>
      <c r="B290" s="2" t="s">
        <v>135</v>
      </c>
      <c r="C290" t="s">
        <v>198</v>
      </c>
      <c r="D290" s="38">
        <v>45673</v>
      </c>
      <c r="E290" s="53">
        <v>1070</v>
      </c>
      <c r="F290" s="2">
        <v>10</v>
      </c>
      <c r="G290" s="13">
        <f>E290*F290</f>
        <v>10700</v>
      </c>
      <c r="I290" s="13"/>
      <c r="K290" s="72"/>
      <c r="M290" s="69"/>
    </row>
    <row r="291" spans="1:13">
      <c r="A291" s="70"/>
      <c r="B291" s="2" t="s">
        <v>135</v>
      </c>
      <c r="C291" t="s">
        <v>199</v>
      </c>
      <c r="D291" s="38">
        <v>45677</v>
      </c>
      <c r="E291" s="53">
        <v>810</v>
      </c>
      <c r="F291" s="2">
        <v>10</v>
      </c>
      <c r="G291" s="13">
        <f>E291*F291</f>
        <v>8100</v>
      </c>
      <c r="I291" s="13"/>
      <c r="K291" s="72"/>
      <c r="M291" s="69"/>
    </row>
    <row r="292" spans="1:13">
      <c r="A292" s="70"/>
      <c r="B292" s="2" t="s">
        <v>132</v>
      </c>
      <c r="C292" t="s">
        <v>198</v>
      </c>
      <c r="D292" s="38">
        <v>45821</v>
      </c>
      <c r="E292" s="53">
        <v>996</v>
      </c>
      <c r="F292" s="2">
        <v>10</v>
      </c>
      <c r="G292" s="13">
        <f>E292*F292</f>
        <v>9960</v>
      </c>
      <c r="I292" s="13"/>
      <c r="K292" s="72"/>
      <c r="M292" s="69"/>
    </row>
    <row r="293" spans="1:13">
      <c r="A293" s="70"/>
      <c r="B293" s="2" t="s">
        <v>132</v>
      </c>
      <c r="C293" t="s">
        <v>198</v>
      </c>
      <c r="D293" s="38">
        <v>45828</v>
      </c>
      <c r="E293" s="53">
        <v>955.8</v>
      </c>
      <c r="F293" s="2">
        <v>10</v>
      </c>
      <c r="G293" s="13">
        <f>E293*F293</f>
        <v>9558</v>
      </c>
      <c r="I293" s="13"/>
      <c r="K293" s="72"/>
      <c r="M293" s="69"/>
    </row>
    <row r="294" spans="1:13">
      <c r="A294" s="70"/>
      <c r="B294" s="2" t="s">
        <v>132</v>
      </c>
      <c r="C294" t="s">
        <v>198</v>
      </c>
      <c r="D294" s="38">
        <v>45860</v>
      </c>
      <c r="F294" s="2">
        <v>20</v>
      </c>
      <c r="G294" s="30"/>
      <c r="H294" s="15">
        <v>1025.05</v>
      </c>
      <c r="I294" s="13">
        <f>H294*F294</f>
        <v>20501</v>
      </c>
      <c r="K294" s="72"/>
      <c r="M294" s="69"/>
    </row>
    <row r="295" spans="1:13">
      <c r="A295" s="70"/>
      <c r="B295" s="2" t="s">
        <v>135</v>
      </c>
      <c r="C295" t="s">
        <v>198</v>
      </c>
      <c r="D295" s="38">
        <v>45810</v>
      </c>
      <c r="E295" s="53">
        <v>1012.85</v>
      </c>
      <c r="F295" s="2">
        <v>1</v>
      </c>
      <c r="G295" s="13">
        <f>E295*F295</f>
        <v>1012.85</v>
      </c>
      <c r="I295" s="13"/>
      <c r="K295" s="72"/>
      <c r="M295" s="69"/>
    </row>
    <row r="296" spans="1:13">
      <c r="A296" s="70"/>
      <c r="B296" s="2" t="s">
        <v>135</v>
      </c>
      <c r="C296" s="75" t="s">
        <v>198</v>
      </c>
      <c r="D296" s="38">
        <v>45855</v>
      </c>
      <c r="F296" s="2">
        <v>11</v>
      </c>
      <c r="G296" s="13"/>
      <c r="H296" s="15">
        <v>1044.25</v>
      </c>
      <c r="I296" s="13">
        <f>H296*F296</f>
        <v>11486.75</v>
      </c>
      <c r="K296" s="72"/>
      <c r="M296" s="69"/>
    </row>
    <row r="297" spans="1:13" ht="15" customHeight="1">
      <c r="A297" s="70"/>
      <c r="B297" s="2" t="s">
        <v>135</v>
      </c>
      <c r="C297" s="75" t="s">
        <v>199</v>
      </c>
      <c r="D297" s="38">
        <v>45754</v>
      </c>
      <c r="F297" s="2">
        <v>10</v>
      </c>
      <c r="G297" s="30"/>
      <c r="H297" s="15">
        <v>780.5</v>
      </c>
      <c r="I297" s="13">
        <f>H297*F297</f>
        <v>7805</v>
      </c>
      <c r="K297" s="72"/>
      <c r="M297" s="69"/>
    </row>
    <row r="298" spans="1:13" ht="15" customHeight="1">
      <c r="A298" s="70"/>
      <c r="B298" s="2" t="s">
        <v>135</v>
      </c>
      <c r="C298" t="s">
        <v>194</v>
      </c>
      <c r="D298" s="38">
        <v>45875</v>
      </c>
      <c r="E298" s="53">
        <v>569.5</v>
      </c>
      <c r="F298" s="2">
        <v>41</v>
      </c>
      <c r="G298" s="13">
        <f>E298*F298</f>
        <v>23349.5</v>
      </c>
      <c r="I298" s="13"/>
      <c r="K298" s="72"/>
      <c r="M298" s="69"/>
    </row>
    <row r="299" spans="1:13" ht="15" customHeight="1">
      <c r="A299" s="70"/>
      <c r="B299" s="2" t="s">
        <v>135</v>
      </c>
      <c r="C299" s="77" t="s">
        <v>194</v>
      </c>
      <c r="D299" s="38">
        <v>45897</v>
      </c>
      <c r="F299" s="2">
        <v>41</v>
      </c>
      <c r="G299" s="13"/>
      <c r="H299" s="15">
        <v>598</v>
      </c>
      <c r="I299" s="13">
        <f>H299*F299</f>
        <v>24518</v>
      </c>
      <c r="K299" s="72">
        <f>SUM(I299)-SUM(G298)</f>
        <v>1168.5</v>
      </c>
      <c r="M299" s="69"/>
    </row>
    <row r="300" spans="1:13" ht="15" customHeight="1">
      <c r="A300" s="70"/>
      <c r="B300" s="2" t="s">
        <v>135</v>
      </c>
      <c r="C300" t="s">
        <v>194</v>
      </c>
      <c r="D300" s="38">
        <v>45923</v>
      </c>
      <c r="E300" s="53">
        <v>167.2</v>
      </c>
      <c r="F300" s="2">
        <v>70</v>
      </c>
      <c r="G300" s="13">
        <f>E300*F300</f>
        <v>11704</v>
      </c>
      <c r="I300" s="13"/>
      <c r="K300" s="72"/>
      <c r="M300" s="69"/>
    </row>
    <row r="301" spans="1:13" ht="15" customHeight="1">
      <c r="A301" s="70"/>
      <c r="D301" s="38"/>
      <c r="G301" s="13"/>
      <c r="I301" s="13"/>
      <c r="K301" s="72"/>
      <c r="M301" s="69"/>
    </row>
    <row r="302" spans="1:13" ht="15" customHeight="1">
      <c r="A302" s="76"/>
      <c r="B302" s="45"/>
      <c r="C302" s="44"/>
      <c r="D302" s="46"/>
      <c r="E302" s="55"/>
      <c r="F302" s="45"/>
      <c r="G302" s="49"/>
      <c r="H302" s="52"/>
      <c r="I302" s="47"/>
      <c r="J302" s="45"/>
      <c r="K302" s="50"/>
      <c r="L302" s="45"/>
      <c r="M302" s="82"/>
    </row>
    <row r="303" spans="1:13" ht="15" customHeight="1">
      <c r="A303" s="70" t="s">
        <v>200</v>
      </c>
      <c r="D303" s="38"/>
      <c r="G303" s="30"/>
      <c r="I303" s="13"/>
      <c r="K303" s="72"/>
      <c r="M303" s="69"/>
    </row>
    <row r="304" spans="1:13" ht="15" customHeight="1">
      <c r="A304" s="70" t="s">
        <v>138</v>
      </c>
      <c r="B304" s="2" t="s">
        <v>132</v>
      </c>
      <c r="C304" t="s">
        <v>201</v>
      </c>
      <c r="D304" s="38">
        <v>45821</v>
      </c>
      <c r="E304" s="53">
        <v>919.2</v>
      </c>
      <c r="F304" s="2">
        <v>7</v>
      </c>
      <c r="G304" s="13">
        <f t="shared" ref="G304:G315" si="33">E304*F304</f>
        <v>6434.4000000000005</v>
      </c>
      <c r="I304" s="13"/>
      <c r="K304" s="72"/>
      <c r="M304" s="69"/>
    </row>
    <row r="305" spans="1:13" ht="15" customHeight="1">
      <c r="A305" s="70"/>
      <c r="B305" s="2" t="s">
        <v>132</v>
      </c>
      <c r="C305" t="s">
        <v>201</v>
      </c>
      <c r="D305" s="38">
        <v>45845</v>
      </c>
      <c r="F305" s="2">
        <v>7</v>
      </c>
      <c r="G305" s="30"/>
      <c r="H305" s="15">
        <v>1002</v>
      </c>
      <c r="I305" s="13">
        <f>H305*F305</f>
        <v>7014</v>
      </c>
      <c r="K305" s="72">
        <f>SUM(I305)-SUM(G304)</f>
        <v>579.59999999999945</v>
      </c>
      <c r="M305" s="69"/>
    </row>
    <row r="306" spans="1:13" ht="15" customHeight="1">
      <c r="A306" s="70"/>
      <c r="B306" s="2" t="s">
        <v>132</v>
      </c>
      <c r="C306" t="s">
        <v>202</v>
      </c>
      <c r="D306" s="38">
        <v>45868</v>
      </c>
      <c r="E306" s="53">
        <v>521.5</v>
      </c>
      <c r="F306" s="2">
        <v>10</v>
      </c>
      <c r="G306" s="13">
        <f t="shared" si="33"/>
        <v>5215</v>
      </c>
      <c r="I306" s="13"/>
      <c r="K306" s="72"/>
      <c r="M306" s="69"/>
    </row>
    <row r="307" spans="1:13" ht="15" customHeight="1">
      <c r="A307" s="70"/>
      <c r="B307" s="2" t="s">
        <v>132</v>
      </c>
      <c r="C307" t="s">
        <v>202</v>
      </c>
      <c r="D307" s="38">
        <v>45873</v>
      </c>
      <c r="E307" s="53">
        <v>491.07</v>
      </c>
      <c r="F307" s="2">
        <v>19</v>
      </c>
      <c r="G307" s="13">
        <f t="shared" si="33"/>
        <v>9330.33</v>
      </c>
      <c r="I307" s="13"/>
      <c r="K307" s="72"/>
      <c r="M307" s="69"/>
    </row>
    <row r="308" spans="1:13">
      <c r="A308" s="70"/>
      <c r="B308" s="2" t="s">
        <v>132</v>
      </c>
      <c r="C308" t="s">
        <v>202</v>
      </c>
      <c r="D308" s="38">
        <v>45873</v>
      </c>
      <c r="E308" s="53">
        <v>491.07</v>
      </c>
      <c r="F308" s="2">
        <v>1</v>
      </c>
      <c r="G308" s="13">
        <v>494.35</v>
      </c>
      <c r="I308" s="13"/>
      <c r="K308" s="72"/>
      <c r="M308" s="69"/>
    </row>
    <row r="309" spans="1:13">
      <c r="A309" s="70"/>
      <c r="D309" s="38"/>
      <c r="G309" s="13"/>
      <c r="I309" s="13"/>
      <c r="K309" s="72"/>
      <c r="M309" s="69"/>
    </row>
    <row r="310" spans="1:13">
      <c r="A310" s="70"/>
      <c r="B310" s="2" t="s">
        <v>132</v>
      </c>
      <c r="C310" t="s">
        <v>203</v>
      </c>
      <c r="D310" s="38">
        <v>45873</v>
      </c>
      <c r="E310" s="53">
        <v>1098.52</v>
      </c>
      <c r="F310" s="2">
        <v>100</v>
      </c>
      <c r="G310" s="13">
        <f t="shared" si="33"/>
        <v>109852</v>
      </c>
      <c r="I310" s="13"/>
      <c r="K310" s="72"/>
      <c r="M310" s="69"/>
    </row>
    <row r="311" spans="1:13">
      <c r="A311" s="70"/>
      <c r="D311" s="38"/>
      <c r="G311" s="13"/>
      <c r="I311" s="13"/>
      <c r="K311" s="72"/>
      <c r="M311" s="69"/>
    </row>
    <row r="312" spans="1:13">
      <c r="A312" s="70"/>
      <c r="B312" s="2" t="s">
        <v>135</v>
      </c>
      <c r="C312" t="s">
        <v>204</v>
      </c>
      <c r="D312" s="38">
        <v>45925</v>
      </c>
      <c r="E312" s="53">
        <v>1276.5</v>
      </c>
      <c r="F312" s="2">
        <v>10</v>
      </c>
      <c r="G312" s="13">
        <f t="shared" si="33"/>
        <v>12765</v>
      </c>
      <c r="I312" s="13"/>
      <c r="K312" s="72"/>
      <c r="M312" s="69"/>
    </row>
    <row r="313" spans="1:13">
      <c r="A313" s="70"/>
      <c r="B313" s="2" t="s">
        <v>135</v>
      </c>
      <c r="C313" t="s">
        <v>204</v>
      </c>
      <c r="D313" s="38">
        <v>45926</v>
      </c>
      <c r="E313" s="53">
        <v>1255</v>
      </c>
      <c r="F313" s="2">
        <v>10</v>
      </c>
      <c r="G313" s="13">
        <f t="shared" si="33"/>
        <v>12550</v>
      </c>
      <c r="I313" s="13"/>
      <c r="K313" s="72"/>
      <c r="M313" s="69"/>
    </row>
    <row r="314" spans="1:13">
      <c r="A314" s="70"/>
      <c r="D314" s="38"/>
      <c r="G314" s="13"/>
      <c r="I314" s="13"/>
      <c r="K314" s="72"/>
      <c r="M314" s="69"/>
    </row>
    <row r="315" spans="1:13">
      <c r="A315" s="70"/>
      <c r="B315" s="2" t="s">
        <v>135</v>
      </c>
      <c r="C315" t="s">
        <v>205</v>
      </c>
      <c r="D315" s="38">
        <v>45925</v>
      </c>
      <c r="E315" s="53">
        <v>1641</v>
      </c>
      <c r="F315" s="2">
        <v>10</v>
      </c>
      <c r="G315" s="13">
        <f t="shared" si="33"/>
        <v>16410</v>
      </c>
      <c r="I315" s="13"/>
      <c r="K315" s="72"/>
      <c r="M315" s="69"/>
    </row>
    <row r="316" spans="1:13">
      <c r="A316" s="70"/>
      <c r="D316" s="38"/>
      <c r="G316" s="13"/>
      <c r="I316" s="13"/>
      <c r="K316" s="72"/>
      <c r="M316" s="69"/>
    </row>
    <row r="317" spans="1:13">
      <c r="A317" s="70"/>
      <c r="D317" s="38"/>
      <c r="G317" s="13"/>
      <c r="I317" s="13"/>
      <c r="K317" s="72"/>
      <c r="M317" s="69"/>
    </row>
    <row r="318" spans="1:13">
      <c r="A318" s="70"/>
      <c r="D318" s="38"/>
      <c r="G318" s="30"/>
      <c r="I318" s="13"/>
      <c r="K318" s="72"/>
      <c r="L318" s="45"/>
      <c r="M318" s="82"/>
    </row>
    <row r="319" spans="1:13">
      <c r="A319" s="68" t="s">
        <v>206</v>
      </c>
      <c r="B319" s="27"/>
      <c r="C319" s="26"/>
      <c r="D319" s="39"/>
      <c r="E319" s="54"/>
      <c r="F319" s="27"/>
      <c r="G319" s="28"/>
      <c r="H319" s="51"/>
      <c r="I319" s="27"/>
      <c r="J319" s="27"/>
      <c r="K319" s="29"/>
      <c r="M319" s="69"/>
    </row>
    <row r="320" spans="1:13" ht="15" customHeight="1">
      <c r="A320" s="70" t="s">
        <v>131</v>
      </c>
      <c r="B320" s="2" t="s">
        <v>134</v>
      </c>
      <c r="C320" t="s">
        <v>207</v>
      </c>
      <c r="D320" s="38">
        <v>45425</v>
      </c>
      <c r="E320" s="53">
        <v>340.95</v>
      </c>
      <c r="F320" s="2">
        <v>90</v>
      </c>
      <c r="G320" s="13">
        <f>E320*F320</f>
        <v>30685.5</v>
      </c>
      <c r="I320" s="13"/>
      <c r="M320" s="69"/>
    </row>
    <row r="321" spans="1:13" ht="15" customHeight="1">
      <c r="A321" s="70"/>
      <c r="B321" s="2" t="s">
        <v>134</v>
      </c>
      <c r="C321" t="s">
        <v>207</v>
      </c>
      <c r="D321" s="38">
        <v>45446</v>
      </c>
      <c r="E321" s="53">
        <v>355</v>
      </c>
      <c r="F321" s="2">
        <v>236</v>
      </c>
      <c r="G321" s="13">
        <f>E321*F321</f>
        <v>83780</v>
      </c>
      <c r="M321" s="69"/>
    </row>
    <row r="322" spans="1:13" ht="15" customHeight="1">
      <c r="A322" s="70"/>
      <c r="B322" s="2" t="s">
        <v>134</v>
      </c>
      <c r="C322" t="s">
        <v>207</v>
      </c>
      <c r="D322" s="38">
        <v>45478</v>
      </c>
      <c r="E322" s="53">
        <v>350.25</v>
      </c>
      <c r="F322" s="2">
        <v>96</v>
      </c>
      <c r="G322" s="13">
        <f>E322*F322</f>
        <v>33624</v>
      </c>
      <c r="M322" s="69"/>
    </row>
    <row r="323" spans="1:13">
      <c r="A323" s="70"/>
      <c r="B323" s="2" t="s">
        <v>134</v>
      </c>
      <c r="C323" t="s">
        <v>207</v>
      </c>
      <c r="D323" s="38">
        <v>45491</v>
      </c>
      <c r="E323" s="53">
        <v>337.45</v>
      </c>
      <c r="F323" s="2">
        <v>45</v>
      </c>
      <c r="G323" s="13">
        <f t="shared" ref="G323:G328" si="34">E323*F323</f>
        <v>15185.25</v>
      </c>
      <c r="M323" s="69"/>
    </row>
    <row r="324" spans="1:13">
      <c r="A324" s="70"/>
      <c r="B324" s="2" t="s">
        <v>134</v>
      </c>
      <c r="C324" t="s">
        <v>207</v>
      </c>
      <c r="D324" s="38">
        <v>45491</v>
      </c>
      <c r="E324" s="53">
        <v>337.45</v>
      </c>
      <c r="F324" s="2">
        <v>1</v>
      </c>
      <c r="G324" s="13">
        <f t="shared" ref="G324" si="35">E324*F324</f>
        <v>337.45</v>
      </c>
      <c r="M324" s="69"/>
    </row>
    <row r="325" spans="1:13">
      <c r="A325" s="70"/>
      <c r="B325" s="2" t="s">
        <v>134</v>
      </c>
      <c r="C325" t="s">
        <v>207</v>
      </c>
      <c r="D325" s="38">
        <v>45492</v>
      </c>
      <c r="E325" s="53">
        <v>340.4</v>
      </c>
      <c r="F325" s="2">
        <v>11</v>
      </c>
      <c r="G325" s="13">
        <f t="shared" si="34"/>
        <v>3744.3999999999996</v>
      </c>
      <c r="M325" s="69"/>
    </row>
    <row r="326" spans="1:13">
      <c r="A326" s="70"/>
      <c r="B326" s="2" t="s">
        <v>134</v>
      </c>
      <c r="C326" t="s">
        <v>207</v>
      </c>
      <c r="D326" s="38">
        <v>45502</v>
      </c>
      <c r="E326" s="53">
        <v>334.4</v>
      </c>
      <c r="F326" s="2">
        <v>77</v>
      </c>
      <c r="G326" s="13">
        <f t="shared" si="34"/>
        <v>25748.799999999999</v>
      </c>
      <c r="M326" s="69"/>
    </row>
    <row r="327" spans="1:13">
      <c r="A327" s="70"/>
      <c r="B327" s="2" t="s">
        <v>134</v>
      </c>
      <c r="C327" t="s">
        <v>207</v>
      </c>
      <c r="D327" s="38">
        <v>45509</v>
      </c>
      <c r="E327" s="53">
        <v>317</v>
      </c>
      <c r="F327" s="2">
        <v>244</v>
      </c>
      <c r="G327" s="13">
        <f t="shared" si="34"/>
        <v>77348</v>
      </c>
      <c r="M327" s="69"/>
    </row>
    <row r="328" spans="1:13">
      <c r="A328" s="70"/>
      <c r="B328" s="2" t="s">
        <v>134</v>
      </c>
      <c r="C328" t="s">
        <v>207</v>
      </c>
      <c r="D328" s="38">
        <v>45534</v>
      </c>
      <c r="E328" s="53">
        <v>321.14999999999998</v>
      </c>
      <c r="F328" s="2">
        <v>345</v>
      </c>
      <c r="G328" s="13">
        <f t="shared" si="34"/>
        <v>110796.74999999999</v>
      </c>
      <c r="M328" s="69"/>
    </row>
    <row r="329" spans="1:13">
      <c r="A329" s="70"/>
      <c r="B329" s="2" t="s">
        <v>134</v>
      </c>
      <c r="C329" s="77" t="s">
        <v>207</v>
      </c>
      <c r="D329" s="38">
        <v>45629</v>
      </c>
      <c r="F329" s="2">
        <v>45</v>
      </c>
      <c r="G329" s="30"/>
      <c r="H329" s="15">
        <v>334.4</v>
      </c>
      <c r="I329" s="13">
        <f>H329*F329</f>
        <v>15047.999999999998</v>
      </c>
      <c r="K329" s="72">
        <f>SUM(I329:I331)-SUM(G320:G328)</f>
        <v>8285.8499999999767</v>
      </c>
      <c r="M329" s="69"/>
    </row>
    <row r="330" spans="1:13">
      <c r="A330" s="70"/>
      <c r="B330" s="2" t="s">
        <v>134</v>
      </c>
      <c r="C330" s="77" t="s">
        <v>207</v>
      </c>
      <c r="D330" s="38">
        <v>45632</v>
      </c>
      <c r="F330" s="2">
        <v>140</v>
      </c>
      <c r="G330" s="30"/>
      <c r="H330" s="15">
        <v>340.4</v>
      </c>
      <c r="I330" s="13">
        <f>H330*F330</f>
        <v>47656</v>
      </c>
      <c r="K330" s="72"/>
      <c r="M330" s="69"/>
    </row>
    <row r="331" spans="1:13">
      <c r="A331" s="70"/>
      <c r="B331" s="2" t="s">
        <v>134</v>
      </c>
      <c r="C331" s="77" t="s">
        <v>207</v>
      </c>
      <c r="D331" s="38"/>
      <c r="F331" s="2">
        <v>960</v>
      </c>
      <c r="G331" s="30"/>
      <c r="H331" s="15">
        <v>340.45</v>
      </c>
      <c r="I331" s="13">
        <f>H331*F331</f>
        <v>326832</v>
      </c>
      <c r="K331" s="72"/>
      <c r="M331" s="69"/>
    </row>
    <row r="332" spans="1:13">
      <c r="D332" s="38"/>
      <c r="G332" s="30"/>
      <c r="I332" s="13"/>
      <c r="K332" s="72"/>
      <c r="M332" s="69"/>
    </row>
    <row r="333" spans="1:13">
      <c r="B333" s="2" t="s">
        <v>132</v>
      </c>
      <c r="C333" t="s">
        <v>207</v>
      </c>
      <c r="D333" s="38">
        <v>45272</v>
      </c>
      <c r="E333" s="53">
        <v>245.5</v>
      </c>
      <c r="F333" s="2">
        <v>65</v>
      </c>
      <c r="G333" s="13">
        <v>15957</v>
      </c>
      <c r="M333" s="69"/>
    </row>
    <row r="334" spans="1:13">
      <c r="A334" s="70"/>
      <c r="B334" s="2" t="s">
        <v>132</v>
      </c>
      <c r="C334" t="s">
        <v>207</v>
      </c>
      <c r="D334" s="38">
        <v>45306</v>
      </c>
      <c r="E334" s="53">
        <v>259.5</v>
      </c>
      <c r="F334" s="2">
        <v>95</v>
      </c>
      <c r="G334" s="13">
        <f>E334*F334</f>
        <v>24652.5</v>
      </c>
      <c r="M334" s="69"/>
    </row>
    <row r="335" spans="1:13">
      <c r="A335" s="70"/>
      <c r="B335" s="2" t="s">
        <v>132</v>
      </c>
      <c r="C335" s="75" t="s">
        <v>207</v>
      </c>
      <c r="D335" s="38">
        <v>45307</v>
      </c>
      <c r="E335" s="53">
        <v>252.9</v>
      </c>
      <c r="F335" s="2">
        <v>160</v>
      </c>
      <c r="G335" s="13"/>
      <c r="I335" s="13">
        <f>E335*F335</f>
        <v>40464</v>
      </c>
      <c r="K335" s="72">
        <f>SUM(I335)-SUM(G333:G334)</f>
        <v>-145.5</v>
      </c>
      <c r="M335" s="69"/>
    </row>
    <row r="336" spans="1:13">
      <c r="A336" s="70"/>
      <c r="B336" s="2" t="s">
        <v>132</v>
      </c>
      <c r="C336" s="96" t="s">
        <v>207</v>
      </c>
      <c r="D336" s="38">
        <v>45334</v>
      </c>
      <c r="E336" s="53">
        <v>271.01</v>
      </c>
      <c r="F336" s="2">
        <v>244</v>
      </c>
      <c r="G336" s="13">
        <f>E336*F336</f>
        <v>66126.44</v>
      </c>
      <c r="M336" s="69"/>
    </row>
    <row r="337" spans="1:13">
      <c r="A337" s="70"/>
      <c r="B337" s="2" t="s">
        <v>132</v>
      </c>
      <c r="C337" t="s">
        <v>207</v>
      </c>
      <c r="D337" s="38">
        <v>45334</v>
      </c>
      <c r="E337" s="53">
        <v>271.01</v>
      </c>
      <c r="F337" s="2">
        <v>32</v>
      </c>
      <c r="G337" s="13">
        <f>E337*F337</f>
        <v>8672.32</v>
      </c>
      <c r="M337" s="69"/>
    </row>
    <row r="338" spans="1:13">
      <c r="A338" s="70"/>
      <c r="B338" s="2" t="s">
        <v>132</v>
      </c>
      <c r="C338" t="s">
        <v>207</v>
      </c>
      <c r="D338" s="38">
        <v>45334</v>
      </c>
      <c r="E338" s="53">
        <v>271.01</v>
      </c>
      <c r="F338" s="2">
        <v>27</v>
      </c>
      <c r="G338" s="13">
        <f t="shared" ref="G338" si="36">E338*F338</f>
        <v>7317.2699999999995</v>
      </c>
      <c r="M338" s="69"/>
    </row>
    <row r="339" spans="1:13">
      <c r="A339" s="70"/>
      <c r="B339" s="2" t="s">
        <v>132</v>
      </c>
      <c r="C339" t="s">
        <v>207</v>
      </c>
      <c r="D339" s="38">
        <v>45334</v>
      </c>
      <c r="E339" s="53">
        <v>271.01</v>
      </c>
      <c r="F339" s="2">
        <v>41</v>
      </c>
      <c r="G339" s="13">
        <f t="shared" ref="G339" si="37">E339*F339</f>
        <v>11111.41</v>
      </c>
      <c r="M339" s="69"/>
    </row>
    <row r="340" spans="1:13">
      <c r="A340" s="70"/>
      <c r="B340" s="2" t="s">
        <v>132</v>
      </c>
      <c r="C340" s="77" t="s">
        <v>207</v>
      </c>
      <c r="D340" s="38">
        <v>45389</v>
      </c>
      <c r="F340" s="2">
        <v>244</v>
      </c>
      <c r="H340" s="53">
        <v>376</v>
      </c>
      <c r="I340" s="13">
        <f>H340*F340</f>
        <v>91744</v>
      </c>
      <c r="J340" s="119"/>
      <c r="K340" s="72">
        <f>SUM(I340)-SUM(G336)</f>
        <v>25617.559999999998</v>
      </c>
      <c r="M340" s="69"/>
    </row>
    <row r="341" spans="1:13">
      <c r="A341" s="70"/>
      <c r="B341" s="2" t="s">
        <v>132</v>
      </c>
      <c r="C341" s="77" t="s">
        <v>207</v>
      </c>
      <c r="D341" s="38">
        <v>45433</v>
      </c>
      <c r="F341" s="2">
        <v>32</v>
      </c>
      <c r="H341" s="53">
        <v>358.45</v>
      </c>
      <c r="I341" s="13">
        <f>H341*F341</f>
        <v>11470.4</v>
      </c>
      <c r="K341" s="72">
        <f>SUM(I341)-SUM(G337)</f>
        <v>2798.08</v>
      </c>
      <c r="M341" s="69"/>
    </row>
    <row r="342" spans="1:13">
      <c r="A342" s="70"/>
      <c r="B342" s="2" t="s">
        <v>132</v>
      </c>
      <c r="C342" s="77" t="s">
        <v>207</v>
      </c>
      <c r="D342" s="38">
        <v>45440</v>
      </c>
      <c r="F342" s="2">
        <v>27</v>
      </c>
      <c r="H342" s="53">
        <v>361.4</v>
      </c>
      <c r="I342" s="13">
        <f>H342*F342</f>
        <v>9757.7999999999993</v>
      </c>
      <c r="K342" s="72">
        <f>SUM(I342)-SUM(G338)</f>
        <v>2440.5299999999997</v>
      </c>
      <c r="M342" s="69"/>
    </row>
    <row r="343" spans="1:13">
      <c r="A343" s="70"/>
      <c r="B343" s="2" t="s">
        <v>132</v>
      </c>
      <c r="C343" t="s">
        <v>207</v>
      </c>
      <c r="D343" s="38">
        <v>45394</v>
      </c>
      <c r="E343" s="53">
        <v>371.8</v>
      </c>
      <c r="F343" s="2">
        <v>40</v>
      </c>
      <c r="G343" s="13">
        <f t="shared" ref="G343" si="38">E343*F343</f>
        <v>14872</v>
      </c>
      <c r="H343" s="53"/>
      <c r="I343" s="13"/>
      <c r="K343" s="72"/>
      <c r="M343" s="69"/>
    </row>
    <row r="344" spans="1:13">
      <c r="A344" s="70"/>
      <c r="B344" s="2" t="s">
        <v>132</v>
      </c>
      <c r="C344" t="s">
        <v>207</v>
      </c>
      <c r="D344" s="38">
        <v>45394</v>
      </c>
      <c r="E344" s="53">
        <v>371.8</v>
      </c>
      <c r="F344" s="2">
        <v>210</v>
      </c>
      <c r="G344" s="13">
        <f t="shared" ref="G344:G347" si="39">E344*F344</f>
        <v>78078</v>
      </c>
      <c r="I344" s="13"/>
      <c r="M344" s="69"/>
    </row>
    <row r="345" spans="1:13">
      <c r="A345" s="70"/>
      <c r="B345" s="2" t="s">
        <v>132</v>
      </c>
      <c r="C345" t="s">
        <v>207</v>
      </c>
      <c r="D345" s="38">
        <v>45398</v>
      </c>
      <c r="E345" s="53">
        <v>363.6</v>
      </c>
      <c r="F345" s="2">
        <v>100</v>
      </c>
      <c r="G345" s="13">
        <f t="shared" si="39"/>
        <v>36360</v>
      </c>
      <c r="I345" s="13"/>
      <c r="M345" s="69"/>
    </row>
    <row r="346" spans="1:13">
      <c r="A346" s="70"/>
      <c r="B346" s="2" t="s">
        <v>132</v>
      </c>
      <c r="C346" t="s">
        <v>207</v>
      </c>
      <c r="D346" s="38">
        <v>45422</v>
      </c>
      <c r="E346" s="53">
        <v>343.3</v>
      </c>
      <c r="F346" s="2">
        <v>310</v>
      </c>
      <c r="G346" s="13">
        <f t="shared" si="39"/>
        <v>106423</v>
      </c>
      <c r="I346" s="13"/>
      <c r="M346" s="69"/>
    </row>
    <row r="347" spans="1:13">
      <c r="A347" s="70"/>
      <c r="B347" s="2" t="s">
        <v>132</v>
      </c>
      <c r="C347" t="s">
        <v>207</v>
      </c>
      <c r="D347" s="38">
        <v>45425</v>
      </c>
      <c r="E347" s="53">
        <v>339.5</v>
      </c>
      <c r="F347" s="2">
        <v>35</v>
      </c>
      <c r="G347" s="13">
        <f t="shared" si="39"/>
        <v>11882.5</v>
      </c>
      <c r="I347" s="13"/>
      <c r="M347" s="69"/>
    </row>
    <row r="348" spans="1:13">
      <c r="A348" s="70"/>
      <c r="B348" s="2" t="s">
        <v>132</v>
      </c>
      <c r="C348" t="s">
        <v>207</v>
      </c>
      <c r="D348" s="38">
        <v>45446</v>
      </c>
      <c r="E348" s="53">
        <v>350</v>
      </c>
      <c r="F348" s="2">
        <v>345</v>
      </c>
      <c r="G348" s="13">
        <f>E348*F348</f>
        <v>120750</v>
      </c>
      <c r="I348" s="13"/>
      <c r="M348" s="69"/>
    </row>
    <row r="349" spans="1:13">
      <c r="A349" s="70"/>
      <c r="B349" s="2" t="s">
        <v>132</v>
      </c>
      <c r="C349" t="s">
        <v>207</v>
      </c>
      <c r="D349" s="38">
        <v>45555</v>
      </c>
      <c r="F349" s="2">
        <v>81</v>
      </c>
      <c r="G349" s="30"/>
      <c r="H349" s="15">
        <v>355</v>
      </c>
      <c r="I349" s="13">
        <f>H349*F349</f>
        <v>28755</v>
      </c>
      <c r="K349" s="72">
        <f>SUM(I349)-SUM(G343,G339)</f>
        <v>2771.59</v>
      </c>
      <c r="M349" s="69"/>
    </row>
    <row r="350" spans="1:13">
      <c r="A350" s="70"/>
      <c r="B350" s="2" t="s">
        <v>132</v>
      </c>
      <c r="C350" t="s">
        <v>207</v>
      </c>
      <c r="D350" s="38">
        <v>45610</v>
      </c>
      <c r="E350" s="53">
        <v>319.5</v>
      </c>
      <c r="F350" s="2">
        <v>187</v>
      </c>
      <c r="G350" s="13">
        <f>E350*F350</f>
        <v>59746.5</v>
      </c>
      <c r="I350" s="13"/>
      <c r="M350" s="69"/>
    </row>
    <row r="351" spans="1:13">
      <c r="A351" s="70"/>
      <c r="B351" s="2" t="s">
        <v>132</v>
      </c>
      <c r="C351" t="s">
        <v>207</v>
      </c>
      <c r="D351" s="38">
        <v>45646</v>
      </c>
      <c r="E351" s="53">
        <v>311.39</v>
      </c>
      <c r="F351" s="2">
        <v>100</v>
      </c>
      <c r="G351" s="13">
        <f>E351*F351</f>
        <v>31139</v>
      </c>
      <c r="M351" s="69"/>
    </row>
    <row r="352" spans="1:13">
      <c r="A352" s="70"/>
      <c r="B352" s="2" t="s">
        <v>132</v>
      </c>
      <c r="C352" t="s">
        <v>207</v>
      </c>
      <c r="D352" s="38">
        <v>45646</v>
      </c>
      <c r="E352" s="53">
        <v>311</v>
      </c>
      <c r="F352" s="2">
        <v>100</v>
      </c>
      <c r="G352" s="13">
        <f>E352*F352</f>
        <v>31100</v>
      </c>
      <c r="M352" s="69"/>
    </row>
    <row r="353" spans="1:13">
      <c r="A353" s="70"/>
      <c r="B353" s="2" t="s">
        <v>132</v>
      </c>
      <c r="C353" t="s">
        <v>207</v>
      </c>
      <c r="D353" s="38">
        <v>45646</v>
      </c>
      <c r="E353" s="53">
        <v>309.95</v>
      </c>
      <c r="F353" s="2">
        <v>100</v>
      </c>
      <c r="G353" s="13">
        <f>E353*F353</f>
        <v>30995</v>
      </c>
      <c r="M353" s="69"/>
    </row>
    <row r="354" spans="1:13">
      <c r="A354" s="70"/>
      <c r="B354" s="2" t="s">
        <v>132</v>
      </c>
      <c r="C354" t="s">
        <v>207</v>
      </c>
      <c r="D354" s="38">
        <v>45646</v>
      </c>
      <c r="E354" s="53">
        <v>309.89999999999998</v>
      </c>
      <c r="F354" s="2">
        <v>100</v>
      </c>
      <c r="G354" s="13">
        <f t="shared" ref="G354" si="40">E354*F354</f>
        <v>30989.999999999996</v>
      </c>
      <c r="M354" s="69"/>
    </row>
    <row r="355" spans="1:13">
      <c r="A355" s="70"/>
      <c r="B355" s="2" t="s">
        <v>132</v>
      </c>
      <c r="C355" t="s">
        <v>207</v>
      </c>
      <c r="D355" s="38">
        <v>45646</v>
      </c>
      <c r="E355" s="53">
        <v>307</v>
      </c>
      <c r="F355" s="2">
        <v>100</v>
      </c>
      <c r="G355" s="13">
        <f t="shared" ref="G355:G365" si="41">E355*F355</f>
        <v>30700</v>
      </c>
      <c r="M355" s="69"/>
    </row>
    <row r="356" spans="1:13">
      <c r="A356" s="70"/>
      <c r="B356" s="2" t="s">
        <v>132</v>
      </c>
      <c r="C356" t="s">
        <v>207</v>
      </c>
      <c r="D356" s="38">
        <v>45646</v>
      </c>
      <c r="E356" s="53">
        <v>305</v>
      </c>
      <c r="F356" s="2">
        <v>146</v>
      </c>
      <c r="G356" s="13">
        <f t="shared" si="41"/>
        <v>44530</v>
      </c>
      <c r="M356" s="69"/>
    </row>
    <row r="357" spans="1:13">
      <c r="A357" s="70"/>
      <c r="B357" s="2" t="s">
        <v>132</v>
      </c>
      <c r="C357" t="s">
        <v>207</v>
      </c>
      <c r="D357" s="38">
        <v>45649</v>
      </c>
      <c r="E357" s="53">
        <v>305</v>
      </c>
      <c r="F357" s="2">
        <v>238</v>
      </c>
      <c r="G357" s="13">
        <f t="shared" si="41"/>
        <v>72590</v>
      </c>
      <c r="M357" s="69"/>
    </row>
    <row r="358" spans="1:13">
      <c r="A358" s="70"/>
      <c r="B358" s="2" t="s">
        <v>132</v>
      </c>
      <c r="C358" t="s">
        <v>207</v>
      </c>
      <c r="D358" s="38">
        <v>45699</v>
      </c>
      <c r="E358" s="53">
        <v>235.9</v>
      </c>
      <c r="F358" s="2">
        <v>211</v>
      </c>
      <c r="G358" s="13">
        <f t="shared" si="41"/>
        <v>49774.9</v>
      </c>
      <c r="M358" s="69"/>
    </row>
    <row r="359" spans="1:13">
      <c r="A359" s="70"/>
      <c r="B359" s="2" t="s">
        <v>132</v>
      </c>
      <c r="C359" t="s">
        <v>207</v>
      </c>
      <c r="D359" s="38">
        <v>45793</v>
      </c>
      <c r="E359" s="53">
        <v>277.25</v>
      </c>
      <c r="F359" s="2">
        <v>718</v>
      </c>
      <c r="G359" s="13">
        <f t="shared" si="41"/>
        <v>199065.5</v>
      </c>
      <c r="I359" s="119"/>
      <c r="M359" s="69"/>
    </row>
    <row r="360" spans="1:13">
      <c r="A360" s="70"/>
      <c r="B360" s="2" t="s">
        <v>132</v>
      </c>
      <c r="C360" t="s">
        <v>207</v>
      </c>
      <c r="D360" s="38">
        <v>45818</v>
      </c>
      <c r="E360" s="53">
        <v>303.14999999999998</v>
      </c>
      <c r="F360" s="2">
        <v>6</v>
      </c>
      <c r="G360" s="13">
        <f t="shared" si="41"/>
        <v>1818.8999999999999</v>
      </c>
      <c r="M360" s="69"/>
    </row>
    <row r="361" spans="1:13">
      <c r="A361" s="70"/>
      <c r="B361" s="2" t="s">
        <v>132</v>
      </c>
      <c r="C361" t="s">
        <v>207</v>
      </c>
      <c r="D361" s="38">
        <v>45821</v>
      </c>
      <c r="E361" s="53">
        <v>293.45</v>
      </c>
      <c r="F361" s="2">
        <v>100</v>
      </c>
      <c r="G361" s="13">
        <f t="shared" si="41"/>
        <v>29345</v>
      </c>
      <c r="M361" s="69"/>
    </row>
    <row r="362" spans="1:13">
      <c r="A362" s="70"/>
      <c r="B362" s="2" t="s">
        <v>132</v>
      </c>
      <c r="C362" t="s">
        <v>207</v>
      </c>
      <c r="D362" s="38">
        <v>45821</v>
      </c>
      <c r="E362" s="53">
        <v>293</v>
      </c>
      <c r="F362" s="2">
        <v>100</v>
      </c>
      <c r="G362" s="13">
        <f t="shared" si="41"/>
        <v>29300</v>
      </c>
      <c r="M362" s="69"/>
    </row>
    <row r="363" spans="1:13">
      <c r="A363" s="70"/>
      <c r="B363" s="2" t="s">
        <v>132</v>
      </c>
      <c r="C363" t="s">
        <v>207</v>
      </c>
      <c r="D363" s="38">
        <v>45821</v>
      </c>
      <c r="E363" s="53">
        <v>299.95</v>
      </c>
      <c r="F363" s="2">
        <v>100</v>
      </c>
      <c r="G363" s="13">
        <f t="shared" si="41"/>
        <v>29995</v>
      </c>
      <c r="M363" s="69"/>
    </row>
    <row r="364" spans="1:13">
      <c r="A364" s="70"/>
      <c r="B364" s="2" t="s">
        <v>132</v>
      </c>
      <c r="C364" t="s">
        <v>207</v>
      </c>
      <c r="D364" s="38">
        <v>45821</v>
      </c>
      <c r="E364" s="53">
        <v>294.45</v>
      </c>
      <c r="F364" s="2">
        <v>100</v>
      </c>
      <c r="G364" s="13">
        <f t="shared" si="41"/>
        <v>29445</v>
      </c>
      <c r="M364" s="69"/>
    </row>
    <row r="365" spans="1:13">
      <c r="A365" s="70"/>
      <c r="B365" s="2" t="s">
        <v>132</v>
      </c>
      <c r="C365" t="s">
        <v>207</v>
      </c>
      <c r="D365" s="38">
        <v>45821</v>
      </c>
      <c r="E365" s="53">
        <v>294.39999999999998</v>
      </c>
      <c r="F365" s="2">
        <v>100</v>
      </c>
      <c r="G365" s="13">
        <f t="shared" si="41"/>
        <v>29439.999999999996</v>
      </c>
      <c r="M365" s="69"/>
    </row>
    <row r="366" spans="1:13">
      <c r="A366" s="70"/>
      <c r="B366" s="2" t="s">
        <v>132</v>
      </c>
      <c r="C366" t="s">
        <v>207</v>
      </c>
      <c r="D366" s="38">
        <v>45827</v>
      </c>
      <c r="E366" s="53">
        <v>285.35000000000002</v>
      </c>
      <c r="F366" s="2">
        <v>200</v>
      </c>
      <c r="G366" s="13">
        <f t="shared" ref="G366:G368" si="42">E366*F366</f>
        <v>57070.000000000007</v>
      </c>
      <c r="M366" s="69"/>
    </row>
    <row r="367" spans="1:13">
      <c r="A367" s="70"/>
      <c r="B367" s="2" t="s">
        <v>132</v>
      </c>
      <c r="C367" t="s">
        <v>207</v>
      </c>
      <c r="D367" s="38">
        <v>45827</v>
      </c>
      <c r="E367" s="53">
        <v>285.35000000000002</v>
      </c>
      <c r="F367" s="2">
        <v>150</v>
      </c>
      <c r="G367" s="30">
        <f t="shared" ref="G367" si="43">E367*F367</f>
        <v>42802.5</v>
      </c>
      <c r="M367" s="69"/>
    </row>
    <row r="368" spans="1:13">
      <c r="A368" s="70"/>
      <c r="B368" s="2" t="s">
        <v>132</v>
      </c>
      <c r="C368" t="s">
        <v>207</v>
      </c>
      <c r="D368" s="38">
        <v>45828</v>
      </c>
      <c r="E368" s="53">
        <v>292.10000000000002</v>
      </c>
      <c r="F368" s="2">
        <v>13</v>
      </c>
      <c r="G368" s="13">
        <f t="shared" si="42"/>
        <v>3797.3</v>
      </c>
      <c r="M368" s="69"/>
    </row>
    <row r="369" spans="1:13">
      <c r="A369" s="70"/>
      <c r="B369" s="2" t="s">
        <v>132</v>
      </c>
      <c r="C369" s="77" t="s">
        <v>207</v>
      </c>
      <c r="D369" s="38">
        <v>45838</v>
      </c>
      <c r="F369" s="2">
        <v>169</v>
      </c>
      <c r="H369" s="15">
        <v>330</v>
      </c>
      <c r="I369" s="13">
        <f t="shared" ref="I369:I375" si="44">H369*F369</f>
        <v>55770</v>
      </c>
      <c r="K369" s="72"/>
      <c r="M369" s="69"/>
    </row>
    <row r="370" spans="1:13">
      <c r="A370" s="70"/>
      <c r="B370" s="2" t="s">
        <v>132</v>
      </c>
      <c r="C370" s="77" t="s">
        <v>207</v>
      </c>
      <c r="D370" s="38">
        <v>45845</v>
      </c>
      <c r="F370" s="2">
        <v>2700</v>
      </c>
      <c r="H370" s="15">
        <v>324.95</v>
      </c>
      <c r="I370" s="13">
        <f t="shared" si="44"/>
        <v>877365</v>
      </c>
      <c r="M370" s="69"/>
    </row>
    <row r="371" spans="1:13">
      <c r="A371" s="70"/>
      <c r="B371" s="2" t="s">
        <v>132</v>
      </c>
      <c r="C371" s="77" t="s">
        <v>207</v>
      </c>
      <c r="D371" s="38">
        <v>45845</v>
      </c>
      <c r="F371" s="2">
        <v>500</v>
      </c>
      <c r="H371" s="15">
        <v>324.95</v>
      </c>
      <c r="I371" s="13">
        <f t="shared" si="44"/>
        <v>162475</v>
      </c>
      <c r="M371" s="69"/>
    </row>
    <row r="372" spans="1:13">
      <c r="A372" s="70"/>
      <c r="B372" s="2" t="s">
        <v>132</v>
      </c>
      <c r="C372" s="77" t="s">
        <v>207</v>
      </c>
      <c r="D372" s="38">
        <v>45868</v>
      </c>
      <c r="F372" s="2">
        <v>50</v>
      </c>
      <c r="H372" s="15">
        <v>320</v>
      </c>
      <c r="I372" s="13">
        <f t="shared" si="44"/>
        <v>16000</v>
      </c>
      <c r="M372" s="69"/>
    </row>
    <row r="373" spans="1:13">
      <c r="A373" s="70"/>
      <c r="B373" s="2" t="s">
        <v>132</v>
      </c>
      <c r="C373" s="77" t="s">
        <v>207</v>
      </c>
      <c r="D373" s="38">
        <v>45869</v>
      </c>
      <c r="F373" s="2">
        <v>50</v>
      </c>
      <c r="H373" s="15">
        <v>330</v>
      </c>
      <c r="I373" s="13">
        <f t="shared" si="44"/>
        <v>16500</v>
      </c>
      <c r="M373" s="69"/>
    </row>
    <row r="374" spans="1:13">
      <c r="A374" s="70"/>
      <c r="B374" s="2" t="s">
        <v>132</v>
      </c>
      <c r="C374" s="77" t="s">
        <v>207</v>
      </c>
      <c r="D374" s="38">
        <v>45869</v>
      </c>
      <c r="F374" s="2">
        <v>50</v>
      </c>
      <c r="H374" s="15">
        <v>328.85</v>
      </c>
      <c r="I374" s="13">
        <f t="shared" si="44"/>
        <v>16442.5</v>
      </c>
      <c r="M374" s="69"/>
    </row>
    <row r="375" spans="1:13">
      <c r="A375" s="70"/>
      <c r="B375" s="2" t="s">
        <v>132</v>
      </c>
      <c r="C375" s="77" t="s">
        <v>207</v>
      </c>
      <c r="D375" s="38">
        <v>45870</v>
      </c>
      <c r="F375" s="2">
        <v>200</v>
      </c>
      <c r="H375" s="15">
        <v>329.5</v>
      </c>
      <c r="I375" s="13">
        <f t="shared" si="44"/>
        <v>65900</v>
      </c>
      <c r="K375" s="72">
        <f>SUM(I369:I375)-SUM(G368,G350:G366,G344:G348)</f>
        <v>66116.899999999907</v>
      </c>
      <c r="M375" s="69"/>
    </row>
    <row r="376" spans="1:13">
      <c r="A376" s="70"/>
      <c r="B376" s="2" t="s">
        <v>132</v>
      </c>
      <c r="C376" t="s">
        <v>207</v>
      </c>
      <c r="D376" s="38">
        <v>45911</v>
      </c>
      <c r="E376" s="53">
        <v>310</v>
      </c>
      <c r="F376" s="2">
        <v>300</v>
      </c>
      <c r="G376" s="30">
        <f t="shared" ref="G376" si="45">E376*F376</f>
        <v>93000</v>
      </c>
      <c r="I376" s="13"/>
      <c r="M376" s="69"/>
    </row>
    <row r="377" spans="1:13">
      <c r="A377" s="70"/>
      <c r="B377" s="2" t="s">
        <v>132</v>
      </c>
      <c r="C377" t="s">
        <v>207</v>
      </c>
      <c r="D377" s="38">
        <v>45911</v>
      </c>
      <c r="E377" s="53">
        <v>310.75</v>
      </c>
      <c r="F377" s="2">
        <v>7</v>
      </c>
      <c r="G377" s="30">
        <f t="shared" ref="G377" si="46">E377*F377</f>
        <v>2175.25</v>
      </c>
      <c r="I377" s="13"/>
      <c r="M377" s="69"/>
    </row>
    <row r="378" spans="1:13">
      <c r="A378" s="70"/>
      <c r="B378" s="2" t="s">
        <v>132</v>
      </c>
      <c r="C378" t="s">
        <v>207</v>
      </c>
      <c r="D378" s="38">
        <v>45911</v>
      </c>
      <c r="E378" s="53">
        <v>306.5</v>
      </c>
      <c r="F378" s="2">
        <v>260</v>
      </c>
      <c r="G378" s="30">
        <f t="shared" ref="G378" si="47">E378*F378</f>
        <v>79690</v>
      </c>
      <c r="I378" s="13"/>
      <c r="M378" s="69"/>
    </row>
    <row r="379" spans="1:13">
      <c r="A379" s="70"/>
      <c r="D379" s="38"/>
      <c r="I379" s="13"/>
      <c r="M379" s="69"/>
    </row>
    <row r="380" spans="1:13">
      <c r="A380" s="70"/>
      <c r="B380" s="2" t="s">
        <v>135</v>
      </c>
      <c r="C380" t="s">
        <v>207</v>
      </c>
      <c r="D380" s="38">
        <v>45523</v>
      </c>
      <c r="E380" s="53">
        <v>332</v>
      </c>
      <c r="F380" s="2">
        <v>36</v>
      </c>
      <c r="G380" s="13">
        <f t="shared" ref="G380:G396" si="48">E380*F380</f>
        <v>11952</v>
      </c>
      <c r="M380" s="69"/>
    </row>
    <row r="381" spans="1:13">
      <c r="A381" s="70"/>
      <c r="B381" s="2" t="s">
        <v>135</v>
      </c>
      <c r="C381" t="s">
        <v>207</v>
      </c>
      <c r="D381" s="38">
        <v>45531</v>
      </c>
      <c r="E381" s="53">
        <v>323.25</v>
      </c>
      <c r="F381" s="2">
        <v>161</v>
      </c>
      <c r="G381" s="13">
        <f t="shared" si="48"/>
        <v>52043.25</v>
      </c>
      <c r="M381" s="69"/>
    </row>
    <row r="382" spans="1:13">
      <c r="A382" s="70"/>
      <c r="B382" s="2" t="s">
        <v>135</v>
      </c>
      <c r="C382" s="77" t="s">
        <v>207</v>
      </c>
      <c r="D382" s="38">
        <v>45624</v>
      </c>
      <c r="F382" s="2">
        <v>197</v>
      </c>
      <c r="G382" s="30"/>
      <c r="H382" s="15">
        <v>325.14999999999998</v>
      </c>
      <c r="I382" s="13">
        <f t="shared" ref="I382" si="49">H382*F382</f>
        <v>64054.549999999996</v>
      </c>
      <c r="K382" s="72">
        <f>SUM(I382)-SUM(G380:G381)</f>
        <v>59.299999999995634</v>
      </c>
      <c r="M382" s="69"/>
    </row>
    <row r="383" spans="1:13">
      <c r="A383" s="70"/>
      <c r="B383" s="2" t="s">
        <v>135</v>
      </c>
      <c r="C383" t="s">
        <v>207</v>
      </c>
      <c r="D383" s="38">
        <v>45646</v>
      </c>
      <c r="E383" s="53">
        <v>309.95</v>
      </c>
      <c r="F383" s="2">
        <v>68</v>
      </c>
      <c r="G383" s="13">
        <f>E383*F383</f>
        <v>21076.6</v>
      </c>
      <c r="M383" s="69"/>
    </row>
    <row r="384" spans="1:13">
      <c r="A384" s="70"/>
      <c r="B384" s="2" t="s">
        <v>135</v>
      </c>
      <c r="C384" t="s">
        <v>207</v>
      </c>
      <c r="D384" s="38">
        <v>45664</v>
      </c>
      <c r="E384" s="53">
        <v>298.10000000000002</v>
      </c>
      <c r="F384" s="2">
        <v>100</v>
      </c>
      <c r="G384" s="13">
        <f t="shared" si="48"/>
        <v>29810.000000000004</v>
      </c>
      <c r="M384" s="69"/>
    </row>
    <row r="385" spans="1:13">
      <c r="A385" s="70"/>
      <c r="B385" s="2" t="s">
        <v>135</v>
      </c>
      <c r="C385" t="s">
        <v>207</v>
      </c>
      <c r="D385" s="38">
        <v>45666</v>
      </c>
      <c r="E385" s="53">
        <v>292.45</v>
      </c>
      <c r="F385" s="2">
        <v>100</v>
      </c>
      <c r="G385" s="13">
        <f t="shared" si="48"/>
        <v>29245</v>
      </c>
      <c r="M385" s="69"/>
    </row>
    <row r="386" spans="1:13">
      <c r="A386" s="70"/>
      <c r="B386" s="2" t="s">
        <v>135</v>
      </c>
      <c r="C386" t="s">
        <v>207</v>
      </c>
      <c r="D386" s="38">
        <v>45670</v>
      </c>
      <c r="E386" s="53">
        <v>272</v>
      </c>
      <c r="F386" s="2">
        <v>100</v>
      </c>
      <c r="G386" s="13">
        <f t="shared" si="48"/>
        <v>27200</v>
      </c>
      <c r="M386" s="69"/>
    </row>
    <row r="387" spans="1:13">
      <c r="A387" s="70"/>
      <c r="B387" s="2" t="s">
        <v>135</v>
      </c>
      <c r="C387" t="s">
        <v>207</v>
      </c>
      <c r="D387" s="38">
        <v>45827</v>
      </c>
      <c r="E387" s="53">
        <v>285</v>
      </c>
      <c r="F387" s="2">
        <v>351</v>
      </c>
      <c r="G387" s="13">
        <f t="shared" si="48"/>
        <v>100035</v>
      </c>
      <c r="M387" s="69"/>
    </row>
    <row r="388" spans="1:13">
      <c r="A388" s="70"/>
      <c r="B388" s="2" t="s">
        <v>135</v>
      </c>
      <c r="C388" t="s">
        <v>207</v>
      </c>
      <c r="D388" s="38">
        <v>45838</v>
      </c>
      <c r="F388" s="2">
        <v>119</v>
      </c>
      <c r="G388" s="30"/>
      <c r="H388" s="15">
        <v>330.75</v>
      </c>
      <c r="I388" s="13">
        <f>H388*F388</f>
        <v>39359.25</v>
      </c>
      <c r="M388" s="69"/>
    </row>
    <row r="389" spans="1:13">
      <c r="A389" s="70"/>
      <c r="B389" s="2" t="s">
        <v>135</v>
      </c>
      <c r="C389" t="s">
        <v>207</v>
      </c>
      <c r="D389" s="38">
        <v>45842</v>
      </c>
      <c r="F389" s="2">
        <v>300</v>
      </c>
      <c r="G389" s="30"/>
      <c r="H389" s="15">
        <v>325</v>
      </c>
      <c r="I389" s="13">
        <f>H389*F389</f>
        <v>97500</v>
      </c>
      <c r="M389" s="69"/>
    </row>
    <row r="390" spans="1:13">
      <c r="A390" s="70"/>
      <c r="B390" s="2" t="s">
        <v>135</v>
      </c>
      <c r="C390" t="s">
        <v>207</v>
      </c>
      <c r="D390" s="38">
        <v>45845</v>
      </c>
      <c r="F390" s="2">
        <v>300</v>
      </c>
      <c r="G390" s="30"/>
      <c r="H390" s="15">
        <v>325</v>
      </c>
      <c r="I390" s="13">
        <f>H390*F390</f>
        <v>97500</v>
      </c>
      <c r="K390" s="72">
        <f>SUM(I388:I390)-SUM(G383:G387)</f>
        <v>26992.649999999994</v>
      </c>
      <c r="M390" s="69"/>
    </row>
    <row r="391" spans="1:13">
      <c r="A391" s="70"/>
      <c r="B391" s="2" t="s">
        <v>135</v>
      </c>
      <c r="C391" t="s">
        <v>207</v>
      </c>
      <c r="D391" s="38">
        <v>45926</v>
      </c>
      <c r="E391" s="53">
        <v>295</v>
      </c>
      <c r="F391" s="2">
        <v>56</v>
      </c>
      <c r="G391" s="30">
        <f t="shared" si="48"/>
        <v>16520</v>
      </c>
      <c r="I391" s="13"/>
      <c r="M391" s="69"/>
    </row>
    <row r="392" spans="1:13">
      <c r="A392" s="70"/>
      <c r="D392" s="38"/>
      <c r="G392" s="30"/>
      <c r="I392" s="13"/>
      <c r="M392" s="69"/>
    </row>
    <row r="393" spans="1:13">
      <c r="A393" s="70"/>
      <c r="D393" s="38"/>
      <c r="G393" s="30"/>
      <c r="I393" s="13"/>
      <c r="M393" s="69"/>
    </row>
    <row r="394" spans="1:13">
      <c r="A394" s="70" t="s">
        <v>153</v>
      </c>
      <c r="B394" s="2" t="s">
        <v>135</v>
      </c>
      <c r="C394" t="s">
        <v>208</v>
      </c>
      <c r="D394" s="38">
        <v>45523</v>
      </c>
      <c r="E394" s="53">
        <v>4.08</v>
      </c>
      <c r="F394" s="2">
        <v>52</v>
      </c>
      <c r="G394" s="13">
        <f t="shared" si="48"/>
        <v>212.16</v>
      </c>
      <c r="M394" s="69"/>
    </row>
    <row r="395" spans="1:13">
      <c r="A395" s="70"/>
      <c r="B395" s="2" t="s">
        <v>135</v>
      </c>
      <c r="C395" t="s">
        <v>208</v>
      </c>
      <c r="D395" s="38">
        <v>45527</v>
      </c>
      <c r="F395" s="2">
        <v>50</v>
      </c>
      <c r="G395" s="30"/>
      <c r="H395" s="15">
        <v>6.54</v>
      </c>
      <c r="I395" s="13">
        <f>H395*F395</f>
        <v>327</v>
      </c>
      <c r="M395" s="69"/>
    </row>
    <row r="396" spans="1:13">
      <c r="A396" s="70"/>
      <c r="B396" s="2" t="s">
        <v>135</v>
      </c>
      <c r="C396" t="s">
        <v>208</v>
      </c>
      <c r="D396" s="38">
        <v>45573</v>
      </c>
      <c r="E396" s="53">
        <v>7.62</v>
      </c>
      <c r="F396" s="2">
        <v>3</v>
      </c>
      <c r="G396" s="13">
        <f t="shared" si="48"/>
        <v>22.86</v>
      </c>
      <c r="I396" s="13"/>
      <c r="M396" s="69"/>
    </row>
    <row r="397" spans="1:13">
      <c r="A397" s="70"/>
      <c r="D397" s="38"/>
      <c r="G397" s="30"/>
      <c r="L397" s="45"/>
      <c r="M397" s="82"/>
    </row>
    <row r="398" spans="1:13">
      <c r="A398" s="68" t="s">
        <v>209</v>
      </c>
      <c r="B398" s="27"/>
      <c r="C398" s="26"/>
      <c r="D398" s="39"/>
      <c r="E398" s="54"/>
      <c r="F398" s="27"/>
      <c r="G398" s="28"/>
      <c r="H398" s="51"/>
      <c r="I398" s="27"/>
      <c r="J398" s="27"/>
      <c r="K398" s="29"/>
      <c r="M398" s="69"/>
    </row>
    <row r="399" spans="1:13">
      <c r="A399" s="70" t="s">
        <v>155</v>
      </c>
      <c r="B399" s="2" t="s">
        <v>132</v>
      </c>
      <c r="C399" t="s">
        <v>210</v>
      </c>
      <c r="D399" s="38">
        <v>45272</v>
      </c>
      <c r="E399" s="53">
        <v>17.600000000000001</v>
      </c>
      <c r="F399" s="2">
        <v>500</v>
      </c>
      <c r="G399" s="13">
        <f t="shared" ref="G399:G402" si="50">E399*F399</f>
        <v>8800</v>
      </c>
      <c r="M399" s="69"/>
    </row>
    <row r="400" spans="1:13">
      <c r="A400" s="70"/>
      <c r="D400" s="38">
        <v>45334</v>
      </c>
      <c r="E400" s="53">
        <v>22.75</v>
      </c>
      <c r="F400" s="2">
        <v>500</v>
      </c>
      <c r="G400" s="13">
        <f t="shared" si="50"/>
        <v>11375</v>
      </c>
      <c r="M400" s="69"/>
    </row>
    <row r="401" spans="1:13">
      <c r="A401" s="70"/>
      <c r="C401" s="71" t="s">
        <v>191</v>
      </c>
      <c r="D401" s="38">
        <v>45334</v>
      </c>
      <c r="E401" s="53">
        <v>22.7</v>
      </c>
      <c r="F401" s="2">
        <v>1000</v>
      </c>
      <c r="G401" s="13"/>
      <c r="I401" s="13">
        <f>E401*F401</f>
        <v>22700</v>
      </c>
      <c r="K401" s="72">
        <f>SUM(I401)-SUM(G399:G400)</f>
        <v>2525</v>
      </c>
      <c r="M401" s="69"/>
    </row>
    <row r="402" spans="1:13">
      <c r="A402" s="70"/>
      <c r="B402" s="2" t="s">
        <v>135</v>
      </c>
      <c r="D402" s="38">
        <v>45524</v>
      </c>
      <c r="E402" s="53">
        <v>16.5</v>
      </c>
      <c r="F402" s="2">
        <v>1374</v>
      </c>
      <c r="G402" s="13">
        <f t="shared" si="50"/>
        <v>22671</v>
      </c>
      <c r="I402" s="13"/>
      <c r="K402" s="72"/>
      <c r="M402" s="69"/>
    </row>
    <row r="403" spans="1:13">
      <c r="A403" s="70"/>
      <c r="C403" s="74" t="s">
        <v>191</v>
      </c>
      <c r="D403" s="38">
        <v>45526</v>
      </c>
      <c r="E403" s="53">
        <v>16.3</v>
      </c>
      <c r="F403" s="2">
        <v>1374</v>
      </c>
      <c r="G403" s="13"/>
      <c r="I403" s="13">
        <f>E403*F403</f>
        <v>22396.2</v>
      </c>
      <c r="K403" s="72">
        <f>SUM(I403)-SUM(G401:G402)</f>
        <v>-274.79999999999927</v>
      </c>
      <c r="M403" s="69"/>
    </row>
    <row r="404" spans="1:13">
      <c r="A404" s="70"/>
      <c r="D404" s="38"/>
      <c r="G404" s="13"/>
      <c r="L404" s="45"/>
      <c r="M404" s="82"/>
    </row>
    <row r="405" spans="1:13">
      <c r="A405" s="68" t="s">
        <v>211</v>
      </c>
      <c r="B405" s="27"/>
      <c r="C405" s="26"/>
      <c r="D405" s="27"/>
      <c r="E405" s="54"/>
      <c r="F405" s="27"/>
      <c r="G405" s="27"/>
      <c r="H405" s="51"/>
      <c r="I405" s="27"/>
      <c r="J405" s="27"/>
      <c r="K405" s="29"/>
      <c r="M405" s="69"/>
    </row>
    <row r="406" spans="1:13">
      <c r="A406" s="70" t="s">
        <v>155</v>
      </c>
      <c r="B406" s="2" t="s">
        <v>132</v>
      </c>
      <c r="C406" s="75" t="s">
        <v>212</v>
      </c>
      <c r="D406" s="38">
        <v>45302</v>
      </c>
      <c r="E406" s="53">
        <v>67.400000000000006</v>
      </c>
      <c r="F406" s="2">
        <v>275</v>
      </c>
      <c r="G406" s="13">
        <f>F406*E406</f>
        <v>18535</v>
      </c>
      <c r="M406" s="69"/>
    </row>
    <row r="407" spans="1:13">
      <c r="A407" s="70"/>
      <c r="C407" s="74" t="s">
        <v>191</v>
      </c>
      <c r="D407" s="38">
        <v>45410</v>
      </c>
      <c r="E407" s="53">
        <v>64.31</v>
      </c>
      <c r="F407" s="2">
        <v>275</v>
      </c>
      <c r="G407" s="13"/>
      <c r="I407" s="13">
        <f>E407*F407</f>
        <v>17685.25</v>
      </c>
      <c r="K407" s="72">
        <f>SUM(I407)-SUM(G405:G406)</f>
        <v>-849.75</v>
      </c>
      <c r="M407" s="69"/>
    </row>
    <row r="408" spans="1:13">
      <c r="A408" s="70" t="s">
        <v>138</v>
      </c>
      <c r="B408" s="2" t="s">
        <v>132</v>
      </c>
      <c r="C408" t="s">
        <v>213</v>
      </c>
      <c r="D408" s="38">
        <v>45400</v>
      </c>
      <c r="E408" s="53">
        <v>136.44999999999999</v>
      </c>
      <c r="F408" s="2">
        <v>100</v>
      </c>
      <c r="G408" s="13">
        <f>F408*E408</f>
        <v>13644.999999999998</v>
      </c>
      <c r="M408" s="69"/>
    </row>
    <row r="409" spans="1:13">
      <c r="A409" s="70"/>
      <c r="B409" s="2" t="s">
        <v>134</v>
      </c>
      <c r="D409" s="38">
        <v>45435</v>
      </c>
      <c r="E409" s="53">
        <v>139.05000000000001</v>
      </c>
      <c r="F409" s="2">
        <v>200</v>
      </c>
      <c r="G409" s="13">
        <f>F409*E409</f>
        <v>27810.000000000004</v>
      </c>
      <c r="M409" s="69"/>
    </row>
    <row r="410" spans="1:13">
      <c r="A410" s="70"/>
      <c r="B410" s="2" t="s">
        <v>132</v>
      </c>
      <c r="C410" s="74" t="s">
        <v>191</v>
      </c>
      <c r="D410" s="38">
        <v>45440</v>
      </c>
      <c r="E410" s="53">
        <v>135.30000000000001</v>
      </c>
      <c r="F410" s="2">
        <v>100</v>
      </c>
      <c r="G410" s="30"/>
      <c r="I410" s="13">
        <f>E410*F410</f>
        <v>13530.000000000002</v>
      </c>
      <c r="K410" s="72">
        <f>SUM(I410)-SUM(G407:G408)</f>
        <v>-114.99999999999636</v>
      </c>
      <c r="M410" s="69"/>
    </row>
    <row r="411" spans="1:13">
      <c r="A411" s="70"/>
      <c r="B411" s="2" t="s">
        <v>134</v>
      </c>
      <c r="C411" s="74" t="s">
        <v>191</v>
      </c>
      <c r="D411" s="38">
        <v>45440</v>
      </c>
      <c r="E411" s="53">
        <v>135.9</v>
      </c>
      <c r="F411" s="2">
        <v>200</v>
      </c>
      <c r="G411" s="13"/>
      <c r="I411" s="13">
        <f>E411*F411</f>
        <v>27180</v>
      </c>
      <c r="K411" s="72">
        <f>SUM(I411)-SUM(G409)</f>
        <v>-630.00000000000364</v>
      </c>
      <c r="L411" s="45"/>
      <c r="M411" s="82"/>
    </row>
    <row r="412" spans="1:13">
      <c r="A412" s="68" t="s">
        <v>214</v>
      </c>
      <c r="B412" s="27"/>
      <c r="C412" s="26"/>
      <c r="D412" s="27"/>
      <c r="E412" s="54"/>
      <c r="F412" s="27"/>
      <c r="G412" s="27"/>
      <c r="H412" s="51"/>
      <c r="I412" s="27"/>
      <c r="J412" s="27"/>
      <c r="K412" s="29"/>
      <c r="M412" s="69"/>
    </row>
    <row r="413" spans="1:13">
      <c r="A413" s="70" t="s">
        <v>153</v>
      </c>
      <c r="B413" s="2" t="s">
        <v>132</v>
      </c>
      <c r="C413" s="75" t="s">
        <v>215</v>
      </c>
      <c r="D413" s="38">
        <v>45302</v>
      </c>
      <c r="E413" s="53">
        <v>0.92</v>
      </c>
      <c r="F413" s="2">
        <v>1550</v>
      </c>
      <c r="G413" s="13">
        <f>F413*E413</f>
        <v>1426</v>
      </c>
      <c r="M413" s="69"/>
    </row>
    <row r="414" spans="1:13">
      <c r="A414" s="70"/>
      <c r="C414" s="74" t="s">
        <v>191</v>
      </c>
      <c r="D414" s="38"/>
      <c r="E414" s="53">
        <v>0.87</v>
      </c>
      <c r="F414" s="2">
        <v>1550</v>
      </c>
      <c r="G414" s="13"/>
      <c r="I414" s="13">
        <f>E414*F414</f>
        <v>1348.5</v>
      </c>
      <c r="K414" s="72">
        <f>SUM(I414)-SUM(G412:G413)</f>
        <v>-77.5</v>
      </c>
      <c r="M414" s="69"/>
    </row>
    <row r="415" spans="1:13">
      <c r="A415" s="70"/>
      <c r="D415" s="38"/>
      <c r="G415" s="13"/>
      <c r="L415" s="45"/>
      <c r="M415" s="82"/>
    </row>
    <row r="416" spans="1:13">
      <c r="A416" s="68" t="s">
        <v>216</v>
      </c>
      <c r="B416" s="27"/>
      <c r="C416" s="26"/>
      <c r="D416" s="39"/>
      <c r="E416" s="54"/>
      <c r="F416" s="27"/>
      <c r="G416" s="27"/>
      <c r="H416" s="51"/>
      <c r="I416" s="27"/>
      <c r="J416" s="27"/>
      <c r="K416" s="29"/>
      <c r="M416" s="69"/>
    </row>
    <row r="417" spans="1:14">
      <c r="A417" s="70" t="s">
        <v>131</v>
      </c>
      <c r="B417" s="2" t="s">
        <v>132</v>
      </c>
      <c r="C417" t="s">
        <v>217</v>
      </c>
      <c r="D417" s="38">
        <v>45300</v>
      </c>
      <c r="E417" s="53">
        <v>217.2</v>
      </c>
      <c r="F417" s="2">
        <v>100</v>
      </c>
      <c r="G417" s="13">
        <f>E417*F417</f>
        <v>21720</v>
      </c>
      <c r="M417" s="69"/>
    </row>
    <row r="418" spans="1:14">
      <c r="A418" s="70"/>
      <c r="C418" s="77" t="s">
        <v>217</v>
      </c>
      <c r="D418" s="38">
        <v>45309</v>
      </c>
      <c r="F418" s="2">
        <v>10</v>
      </c>
      <c r="G418" s="13"/>
      <c r="H418" s="53">
        <v>232.1</v>
      </c>
      <c r="I418" s="13">
        <f>F418*H418</f>
        <v>2321</v>
      </c>
      <c r="M418" s="69"/>
    </row>
    <row r="419" spans="1:14">
      <c r="A419" s="70"/>
      <c r="C419" s="77" t="s">
        <v>217</v>
      </c>
      <c r="D419" s="38">
        <v>45334</v>
      </c>
      <c r="F419" s="2">
        <v>90</v>
      </c>
      <c r="G419" s="13"/>
      <c r="H419" s="53">
        <v>265.7</v>
      </c>
      <c r="I419" s="13">
        <f>F419*H419</f>
        <v>23913</v>
      </c>
      <c r="K419" s="72">
        <f>SUM(I418:I419)-SUM(G417:G418)</f>
        <v>4514</v>
      </c>
      <c r="M419" s="69"/>
    </row>
    <row r="420" spans="1:14">
      <c r="A420" s="70"/>
      <c r="B420" s="2" t="s">
        <v>132</v>
      </c>
      <c r="C420" t="s">
        <v>217</v>
      </c>
      <c r="D420" s="38">
        <v>45405</v>
      </c>
      <c r="E420" s="53">
        <v>277</v>
      </c>
      <c r="F420" s="2">
        <v>100</v>
      </c>
      <c r="G420" s="13">
        <f>E420*F420</f>
        <v>27700</v>
      </c>
      <c r="I420" s="13"/>
      <c r="K420" s="72"/>
      <c r="M420" s="69"/>
    </row>
    <row r="421" spans="1:14">
      <c r="A421" s="70"/>
      <c r="C421" t="s">
        <v>217</v>
      </c>
      <c r="D421" s="38">
        <v>45408</v>
      </c>
      <c r="E421" s="53">
        <v>283</v>
      </c>
      <c r="F421" s="2">
        <v>38</v>
      </c>
      <c r="G421" s="13">
        <f>E421*F421</f>
        <v>10754</v>
      </c>
      <c r="I421" s="13"/>
      <c r="K421" s="72"/>
      <c r="M421" s="69"/>
    </row>
    <row r="422" spans="1:14">
      <c r="A422" s="70"/>
      <c r="B422" s="2" t="s">
        <v>132</v>
      </c>
      <c r="C422" s="77" t="s">
        <v>217</v>
      </c>
      <c r="D422" s="38">
        <v>45433</v>
      </c>
      <c r="F422" s="2">
        <v>138</v>
      </c>
      <c r="G422" s="30"/>
      <c r="H422" s="53">
        <v>282.5</v>
      </c>
      <c r="I422" s="13">
        <f>F422*H422</f>
        <v>38985</v>
      </c>
      <c r="K422" s="72">
        <f>SUM(I422)-SUM(G420:G421)</f>
        <v>531</v>
      </c>
      <c r="M422" s="69"/>
    </row>
    <row r="423" spans="1:14">
      <c r="A423" s="70"/>
      <c r="B423" s="2" t="s">
        <v>132</v>
      </c>
      <c r="C423" t="s">
        <v>217</v>
      </c>
      <c r="D423" s="38">
        <v>45434</v>
      </c>
      <c r="E423" s="53">
        <v>279.14999999999998</v>
      </c>
      <c r="F423" s="2">
        <v>102</v>
      </c>
      <c r="G423" s="13">
        <f>E423*F423</f>
        <v>28473.3</v>
      </c>
      <c r="I423" s="13"/>
      <c r="K423" s="72"/>
      <c r="M423" s="69"/>
    </row>
    <row r="424" spans="1:14">
      <c r="A424" s="70"/>
      <c r="B424" s="2" t="s">
        <v>132</v>
      </c>
      <c r="C424" s="77" t="s">
        <v>217</v>
      </c>
      <c r="D424" s="38">
        <v>45478</v>
      </c>
      <c r="F424" s="2">
        <v>102</v>
      </c>
      <c r="G424" s="30"/>
      <c r="H424" s="53">
        <v>287</v>
      </c>
      <c r="I424" s="13">
        <f>F424*H424</f>
        <v>29274</v>
      </c>
      <c r="K424" s="72">
        <f>SUM(I424)-SUM(G422:G423)</f>
        <v>800.70000000000073</v>
      </c>
      <c r="M424" s="69"/>
      <c r="N424" s="81"/>
    </row>
    <row r="425" spans="1:14">
      <c r="A425" s="70"/>
      <c r="D425" s="38"/>
      <c r="G425" s="13"/>
      <c r="I425" s="13"/>
      <c r="K425" s="72"/>
      <c r="M425" s="69"/>
    </row>
    <row r="426" spans="1:14">
      <c r="A426" s="70"/>
      <c r="B426" s="2" t="s">
        <v>132</v>
      </c>
      <c r="C426" t="s">
        <v>218</v>
      </c>
      <c r="D426" s="38">
        <v>45800</v>
      </c>
      <c r="E426" s="53">
        <v>145</v>
      </c>
      <c r="F426" s="2">
        <v>100</v>
      </c>
      <c r="G426" s="13">
        <f>E426*F426</f>
        <v>14500</v>
      </c>
      <c r="I426" s="13"/>
      <c r="K426" s="72"/>
      <c r="M426" s="69"/>
    </row>
    <row r="427" spans="1:14">
      <c r="A427" s="70"/>
      <c r="B427" s="2" t="s">
        <v>132</v>
      </c>
      <c r="C427" t="s">
        <v>218</v>
      </c>
      <c r="D427" s="38">
        <v>45800</v>
      </c>
      <c r="E427" s="53">
        <v>144</v>
      </c>
      <c r="F427" s="2">
        <v>9</v>
      </c>
      <c r="G427" s="13">
        <f>E427*F427</f>
        <v>1296</v>
      </c>
      <c r="I427" s="13"/>
      <c r="K427" s="72"/>
      <c r="M427" s="69"/>
    </row>
    <row r="428" spans="1:14">
      <c r="A428" s="70"/>
      <c r="B428" s="2" t="s">
        <v>132</v>
      </c>
      <c r="C428" t="s">
        <v>218</v>
      </c>
      <c r="D428" s="38">
        <v>45833</v>
      </c>
      <c r="E428" s="53">
        <v>143.49</v>
      </c>
      <c r="F428" s="2">
        <v>16</v>
      </c>
      <c r="G428" s="13">
        <f>E428*F428</f>
        <v>2295.84</v>
      </c>
      <c r="I428" s="13"/>
      <c r="K428" s="72"/>
      <c r="M428" s="69"/>
    </row>
    <row r="429" spans="1:14">
      <c r="A429" s="70"/>
      <c r="B429" s="2" t="s">
        <v>132</v>
      </c>
      <c r="C429" s="77" t="s">
        <v>218</v>
      </c>
      <c r="D429" s="38">
        <v>45860</v>
      </c>
      <c r="F429" s="2">
        <v>125</v>
      </c>
      <c r="G429" s="30"/>
      <c r="H429" s="15">
        <v>151.59</v>
      </c>
      <c r="I429" s="13">
        <f>F429*H429</f>
        <v>18948.75</v>
      </c>
      <c r="K429" s="72">
        <f>SUM(I429)-SUM(G426:G428)</f>
        <v>856.90999999999985</v>
      </c>
      <c r="M429" s="69"/>
    </row>
    <row r="430" spans="1:14">
      <c r="A430" s="70"/>
      <c r="C430" s="77"/>
      <c r="D430" s="38"/>
      <c r="G430" s="30"/>
      <c r="I430" s="13"/>
      <c r="K430" s="72"/>
      <c r="M430" s="69"/>
    </row>
    <row r="431" spans="1:14">
      <c r="A431" s="70"/>
      <c r="B431" s="2" t="s">
        <v>134</v>
      </c>
      <c r="C431" s="2"/>
      <c r="D431" s="38">
        <v>45306</v>
      </c>
      <c r="E431" s="53">
        <v>226.2</v>
      </c>
      <c r="F431" s="2">
        <v>200</v>
      </c>
      <c r="G431" s="13">
        <f>E431*F431</f>
        <v>45240</v>
      </c>
      <c r="I431" s="13"/>
      <c r="K431" s="72"/>
      <c r="M431" s="69"/>
    </row>
    <row r="432" spans="1:14">
      <c r="A432" s="70"/>
      <c r="C432" s="77" t="s">
        <v>217</v>
      </c>
      <c r="D432" s="38">
        <v>45334</v>
      </c>
      <c r="E432" s="53">
        <v>265.5</v>
      </c>
      <c r="F432" s="2">
        <v>200</v>
      </c>
      <c r="G432" s="13"/>
      <c r="I432" s="13">
        <f>F432*E432</f>
        <v>53100</v>
      </c>
      <c r="K432" s="72">
        <f>SUM(I432)-SUM(G431)</f>
        <v>7860</v>
      </c>
      <c r="M432" s="69"/>
    </row>
    <row r="433" spans="1:13">
      <c r="A433" s="70"/>
      <c r="B433" s="2" t="s">
        <v>134</v>
      </c>
      <c r="D433" s="38">
        <v>45434</v>
      </c>
      <c r="E433" s="53">
        <v>279.14999999999998</v>
      </c>
      <c r="F433" s="2">
        <v>58</v>
      </c>
      <c r="G433" s="13">
        <f>E433*F433</f>
        <v>16190.699999999999</v>
      </c>
      <c r="I433" s="13"/>
      <c r="K433" s="72"/>
      <c r="M433" s="69"/>
    </row>
    <row r="434" spans="1:13">
      <c r="A434" s="70"/>
      <c r="B434" s="2" t="s">
        <v>134</v>
      </c>
      <c r="D434" s="38">
        <v>45449</v>
      </c>
      <c r="E434" s="53">
        <v>257</v>
      </c>
      <c r="F434" s="2">
        <v>241</v>
      </c>
      <c r="G434" s="13">
        <f>E434*F434</f>
        <v>61937</v>
      </c>
      <c r="I434" s="13"/>
      <c r="K434" s="72"/>
      <c r="M434" s="69"/>
    </row>
    <row r="435" spans="1:13">
      <c r="A435" s="70"/>
      <c r="C435" s="77" t="s">
        <v>217</v>
      </c>
      <c r="D435" s="38">
        <v>45478</v>
      </c>
      <c r="F435" s="2">
        <v>102</v>
      </c>
      <c r="G435" s="30"/>
      <c r="H435" s="15">
        <v>287</v>
      </c>
      <c r="I435" s="13">
        <f>F435*H435</f>
        <v>29274</v>
      </c>
      <c r="K435" s="72">
        <f>SUM(I435)-SUM(G423)</f>
        <v>800.70000000000073</v>
      </c>
      <c r="M435" s="69"/>
    </row>
    <row r="436" spans="1:13">
      <c r="A436" s="70"/>
      <c r="C436" s="77" t="s">
        <v>217</v>
      </c>
      <c r="D436" s="38">
        <v>45509</v>
      </c>
      <c r="F436" s="2">
        <v>315.64999999999998</v>
      </c>
      <c r="G436" s="13"/>
      <c r="H436" s="15">
        <v>299</v>
      </c>
      <c r="I436" s="13">
        <f>F436*H436</f>
        <v>94379.349999999991</v>
      </c>
      <c r="K436" s="72">
        <f>SUM(I436)-SUM(G433:G434)</f>
        <v>16251.649999999994</v>
      </c>
      <c r="M436" s="69"/>
    </row>
    <row r="437" spans="1:13">
      <c r="A437" s="70"/>
      <c r="C437" s="77"/>
      <c r="D437" s="38"/>
      <c r="G437" s="30"/>
      <c r="I437" s="13"/>
      <c r="K437" s="72"/>
      <c r="M437" s="69"/>
    </row>
    <row r="438" spans="1:13">
      <c r="A438" s="70"/>
      <c r="B438" s="2" t="s">
        <v>135</v>
      </c>
      <c r="C438" t="s">
        <v>218</v>
      </c>
      <c r="D438" s="38">
        <v>45792</v>
      </c>
      <c r="E438" s="53">
        <v>144</v>
      </c>
      <c r="F438" s="2">
        <v>100</v>
      </c>
      <c r="G438" s="13">
        <f>E438*F438</f>
        <v>14400</v>
      </c>
      <c r="I438" s="13"/>
      <c r="K438" s="72"/>
      <c r="M438" s="69"/>
    </row>
    <row r="439" spans="1:13">
      <c r="A439" s="70"/>
      <c r="B439" s="2" t="s">
        <v>135</v>
      </c>
      <c r="C439" s="77" t="s">
        <v>218</v>
      </c>
      <c r="D439" s="38">
        <v>45860</v>
      </c>
      <c r="F439" s="2">
        <v>100</v>
      </c>
      <c r="G439" s="30"/>
      <c r="H439" s="15">
        <v>151.59</v>
      </c>
      <c r="I439" s="13">
        <f>F439*H439</f>
        <v>15159</v>
      </c>
      <c r="K439" s="72">
        <f>SUM(I439)-SUM(G438)</f>
        <v>759</v>
      </c>
      <c r="M439" s="69"/>
    </row>
    <row r="440" spans="1:13">
      <c r="A440" s="70"/>
      <c r="D440" s="38"/>
      <c r="G440" s="30"/>
      <c r="I440" s="13"/>
      <c r="K440" s="72"/>
      <c r="L440" s="45"/>
      <c r="M440" s="82"/>
    </row>
    <row r="441" spans="1:13">
      <c r="A441" s="68" t="s">
        <v>219</v>
      </c>
      <c r="B441" s="27"/>
      <c r="C441" s="26"/>
      <c r="D441" s="40"/>
      <c r="E441" s="54"/>
      <c r="F441" s="27"/>
      <c r="G441" s="28"/>
      <c r="H441" s="51"/>
      <c r="I441" s="27"/>
      <c r="J441" s="27"/>
      <c r="K441" s="29"/>
      <c r="M441" s="69"/>
    </row>
    <row r="442" spans="1:13">
      <c r="A442" s="70" t="s">
        <v>131</v>
      </c>
      <c r="B442" s="2" t="s">
        <v>132</v>
      </c>
      <c r="C442" t="s">
        <v>220</v>
      </c>
      <c r="D442" s="38">
        <v>45390</v>
      </c>
      <c r="E442" s="53">
        <v>513.65</v>
      </c>
      <c r="F442" s="2">
        <v>100</v>
      </c>
      <c r="G442" s="13">
        <f>E442*F442</f>
        <v>51365</v>
      </c>
      <c r="M442" s="69"/>
    </row>
    <row r="443" spans="1:13">
      <c r="A443" s="70"/>
      <c r="B443" s="2" t="s">
        <v>132</v>
      </c>
      <c r="C443" s="77" t="s">
        <v>220</v>
      </c>
      <c r="D443" s="38">
        <v>45421</v>
      </c>
      <c r="F443" s="2">
        <v>100</v>
      </c>
      <c r="G443" s="30"/>
      <c r="H443" s="15">
        <v>583</v>
      </c>
      <c r="I443" s="13">
        <f>F443*H443</f>
        <v>58300</v>
      </c>
      <c r="K443" s="72">
        <f>SUM(I443)-SUM(G442)</f>
        <v>6935</v>
      </c>
      <c r="M443" s="69"/>
    </row>
    <row r="444" spans="1:13">
      <c r="A444" s="70"/>
      <c r="B444" s="2" t="s">
        <v>132</v>
      </c>
      <c r="C444" t="s">
        <v>220</v>
      </c>
      <c r="D444" s="38">
        <v>45811</v>
      </c>
      <c r="E444" s="53">
        <v>679</v>
      </c>
      <c r="F444" s="17">
        <v>10</v>
      </c>
      <c r="G444" s="13">
        <f t="shared" ref="G444:G457" si="51">E444*F444</f>
        <v>6790</v>
      </c>
      <c r="I444" s="13"/>
      <c r="K444" s="72"/>
      <c r="M444" s="69"/>
    </row>
    <row r="445" spans="1:13">
      <c r="A445" s="70"/>
      <c r="B445" s="2" t="s">
        <v>132</v>
      </c>
      <c r="C445" t="s">
        <v>220</v>
      </c>
      <c r="D445" s="38">
        <v>45821</v>
      </c>
      <c r="E445" s="53">
        <v>671.1</v>
      </c>
      <c r="F445" s="17">
        <v>10</v>
      </c>
      <c r="G445" s="13">
        <f t="shared" ref="G445" si="52">E445*F445</f>
        <v>6711</v>
      </c>
      <c r="I445" s="13"/>
      <c r="K445" s="72"/>
      <c r="M445" s="69"/>
    </row>
    <row r="446" spans="1:13">
      <c r="A446" s="70"/>
      <c r="B446" s="2" t="s">
        <v>132</v>
      </c>
      <c r="C446" t="s">
        <v>220</v>
      </c>
      <c r="D446" s="38">
        <v>45821</v>
      </c>
      <c r="E446" s="53">
        <v>672.35</v>
      </c>
      <c r="F446" s="17">
        <v>9</v>
      </c>
      <c r="G446" s="13">
        <f t="shared" si="51"/>
        <v>6051.1500000000005</v>
      </c>
      <c r="I446" s="13"/>
      <c r="K446" s="72"/>
      <c r="M446" s="69"/>
    </row>
    <row r="447" spans="1:13">
      <c r="A447" s="70"/>
      <c r="B447" s="2" t="s">
        <v>132</v>
      </c>
      <c r="C447" t="s">
        <v>220</v>
      </c>
      <c r="D447" s="38">
        <v>45832</v>
      </c>
      <c r="F447" s="2">
        <v>29</v>
      </c>
      <c r="H447" s="53">
        <v>682</v>
      </c>
      <c r="I447" s="13">
        <f>H447*F447</f>
        <v>19778</v>
      </c>
      <c r="K447" s="72">
        <f>SUM(I447)-SUM(G444:G446)</f>
        <v>225.84999999999854</v>
      </c>
      <c r="M447" s="69"/>
    </row>
    <row r="448" spans="1:13">
      <c r="A448" s="70"/>
      <c r="B448" s="2" t="s">
        <v>132</v>
      </c>
      <c r="C448" t="s">
        <v>220</v>
      </c>
      <c r="D448" s="38">
        <v>45847</v>
      </c>
      <c r="E448" s="53">
        <v>668.5</v>
      </c>
      <c r="F448" s="2">
        <v>100</v>
      </c>
      <c r="G448" s="13">
        <f t="shared" si="51"/>
        <v>66850</v>
      </c>
      <c r="I448" s="13"/>
      <c r="K448" s="72"/>
      <c r="M448" s="69"/>
    </row>
    <row r="449" spans="1:13" ht="15" customHeight="1">
      <c r="A449" s="70"/>
      <c r="B449" s="2" t="s">
        <v>132</v>
      </c>
      <c r="C449" t="s">
        <v>220</v>
      </c>
      <c r="D449" s="38">
        <v>45862</v>
      </c>
      <c r="E449" s="53">
        <v>664.5</v>
      </c>
      <c r="F449" s="2">
        <v>42</v>
      </c>
      <c r="G449" s="13">
        <f t="shared" si="51"/>
        <v>27909</v>
      </c>
      <c r="I449" s="13"/>
      <c r="K449" s="72"/>
      <c r="M449" s="69"/>
    </row>
    <row r="450" spans="1:13" ht="15" customHeight="1">
      <c r="A450" s="70"/>
      <c r="B450" s="2" t="s">
        <v>132</v>
      </c>
      <c r="C450" t="s">
        <v>220</v>
      </c>
      <c r="D450" s="38">
        <v>45862</v>
      </c>
      <c r="E450" s="53">
        <v>664.5</v>
      </c>
      <c r="F450" s="2">
        <v>8</v>
      </c>
      <c r="G450" s="13">
        <f t="shared" ref="G450" si="53">E450*F450</f>
        <v>5316</v>
      </c>
      <c r="I450" s="13"/>
      <c r="K450" s="72"/>
      <c r="M450" s="69"/>
    </row>
    <row r="451" spans="1:13">
      <c r="A451" s="70"/>
      <c r="B451" s="2" t="s">
        <v>132</v>
      </c>
      <c r="C451" t="s">
        <v>220</v>
      </c>
      <c r="D451" s="38">
        <v>45862</v>
      </c>
      <c r="E451" s="53">
        <v>660</v>
      </c>
      <c r="F451" s="2">
        <v>50</v>
      </c>
      <c r="G451" s="13">
        <f t="shared" si="51"/>
        <v>33000</v>
      </c>
      <c r="I451" s="13"/>
      <c r="K451" s="72"/>
      <c r="M451" s="69"/>
    </row>
    <row r="452" spans="1:13">
      <c r="A452" s="70"/>
      <c r="B452" s="2" t="s">
        <v>132</v>
      </c>
      <c r="C452" t="s">
        <v>220</v>
      </c>
      <c r="D452" s="38">
        <v>45863</v>
      </c>
      <c r="E452" s="53">
        <v>665</v>
      </c>
      <c r="F452" s="2">
        <v>50</v>
      </c>
      <c r="G452" s="13">
        <f t="shared" ref="G452" si="54">E452*F452</f>
        <v>33250</v>
      </c>
      <c r="I452" s="13"/>
      <c r="K452" s="72"/>
      <c r="M452" s="69"/>
    </row>
    <row r="453" spans="1:13">
      <c r="A453" s="70"/>
      <c r="B453" s="2" t="s">
        <v>132</v>
      </c>
      <c r="C453" t="s">
        <v>220</v>
      </c>
      <c r="D453" s="38">
        <v>45863</v>
      </c>
      <c r="E453" s="53">
        <v>665</v>
      </c>
      <c r="F453" s="2">
        <v>50</v>
      </c>
      <c r="G453" s="13">
        <f t="shared" ref="G453" si="55">E453*F453</f>
        <v>33250</v>
      </c>
      <c r="I453" s="13"/>
      <c r="K453" s="72"/>
      <c r="M453" s="69"/>
    </row>
    <row r="454" spans="1:13">
      <c r="A454" s="70"/>
      <c r="B454" s="2" t="s">
        <v>132</v>
      </c>
      <c r="C454" t="s">
        <v>220</v>
      </c>
      <c r="D454" s="38">
        <v>45867</v>
      </c>
      <c r="E454" s="53">
        <v>659.35</v>
      </c>
      <c r="F454" s="2">
        <v>100</v>
      </c>
      <c r="G454" s="13">
        <f>E454*F454</f>
        <v>65935</v>
      </c>
      <c r="I454" s="13"/>
      <c r="K454" s="72"/>
      <c r="M454" s="69"/>
    </row>
    <row r="455" spans="1:13">
      <c r="A455" s="70"/>
      <c r="B455" s="2" t="s">
        <v>132</v>
      </c>
      <c r="C455" t="s">
        <v>220</v>
      </c>
      <c r="D455" s="38">
        <v>45870</v>
      </c>
      <c r="E455" s="53">
        <v>655</v>
      </c>
      <c r="F455" s="119">
        <v>100</v>
      </c>
      <c r="G455" s="30">
        <f t="shared" si="51"/>
        <v>65500</v>
      </c>
      <c r="I455" s="13"/>
      <c r="K455" s="72"/>
      <c r="M455" s="69"/>
    </row>
    <row r="456" spans="1:13">
      <c r="A456" s="70"/>
      <c r="B456" s="2" t="s">
        <v>132</v>
      </c>
      <c r="C456" t="s">
        <v>220</v>
      </c>
      <c r="D456" s="38">
        <v>45873</v>
      </c>
      <c r="E456" s="53">
        <v>652.88</v>
      </c>
      <c r="F456" s="119">
        <v>100</v>
      </c>
      <c r="G456" s="30">
        <f t="shared" si="51"/>
        <v>65288</v>
      </c>
      <c r="I456" s="13"/>
      <c r="K456" s="72"/>
      <c r="M456" s="69"/>
    </row>
    <row r="457" spans="1:13">
      <c r="A457" s="70"/>
      <c r="B457" s="2" t="s">
        <v>132</v>
      </c>
      <c r="C457" t="s">
        <v>220</v>
      </c>
      <c r="D457" s="38">
        <v>45873</v>
      </c>
      <c r="E457" s="53">
        <v>652.99</v>
      </c>
      <c r="F457" s="119">
        <v>100</v>
      </c>
      <c r="G457" s="30">
        <f t="shared" si="51"/>
        <v>65299</v>
      </c>
      <c r="I457" s="13"/>
      <c r="K457" s="72"/>
      <c r="M457" s="69"/>
    </row>
    <row r="458" spans="1:13">
      <c r="A458" s="70"/>
      <c r="B458" s="2" t="s">
        <v>132</v>
      </c>
      <c r="C458" t="s">
        <v>220</v>
      </c>
      <c r="D458" s="38">
        <v>45873</v>
      </c>
      <c r="E458" s="53">
        <v>653.05999999999995</v>
      </c>
      <c r="F458" s="119">
        <v>100</v>
      </c>
      <c r="G458" s="30">
        <f t="shared" ref="G458" si="56">E458*F458</f>
        <v>65305.999999999993</v>
      </c>
      <c r="I458" s="13"/>
      <c r="K458" s="72"/>
      <c r="M458" s="69"/>
    </row>
    <row r="459" spans="1:13">
      <c r="B459" s="2" t="s">
        <v>132</v>
      </c>
      <c r="C459" t="s">
        <v>220</v>
      </c>
      <c r="D459" s="38">
        <v>45898</v>
      </c>
      <c r="E459" s="53">
        <v>697.8</v>
      </c>
      <c r="F459" s="119">
        <v>100</v>
      </c>
      <c r="G459" s="30">
        <f t="shared" ref="G459" si="57">E459*F459</f>
        <v>69780</v>
      </c>
      <c r="I459" s="13"/>
      <c r="K459" s="72"/>
      <c r="M459" s="69"/>
    </row>
    <row r="460" spans="1:13">
      <c r="A460" s="70"/>
      <c r="B460" s="2" t="s">
        <v>132</v>
      </c>
      <c r="C460" s="75" t="s">
        <v>220</v>
      </c>
      <c r="D460" s="38">
        <v>45897</v>
      </c>
      <c r="F460" s="2">
        <v>100</v>
      </c>
      <c r="G460" s="30"/>
      <c r="H460" s="15">
        <v>664.25</v>
      </c>
      <c r="I460" s="13">
        <f>F460*H460</f>
        <v>66425</v>
      </c>
      <c r="K460" s="72">
        <f>I460-SUM(G448)</f>
        <v>-425</v>
      </c>
      <c r="M460" s="69"/>
    </row>
    <row r="461" spans="1:13">
      <c r="B461" s="2" t="s">
        <v>132</v>
      </c>
      <c r="C461" s="75" t="s">
        <v>220</v>
      </c>
      <c r="D461" s="38">
        <v>45897</v>
      </c>
      <c r="F461" s="2">
        <v>100</v>
      </c>
      <c r="G461" s="30"/>
      <c r="H461" s="15">
        <v>660.5</v>
      </c>
      <c r="I461" s="13">
        <f>F461*H461</f>
        <v>66050</v>
      </c>
      <c r="K461" s="72">
        <f>I461-SUM(G449:G451)</f>
        <v>-175</v>
      </c>
      <c r="M461" s="69"/>
    </row>
    <row r="462" spans="1:13">
      <c r="B462" s="2" t="s">
        <v>132</v>
      </c>
      <c r="C462" s="77" t="s">
        <v>220</v>
      </c>
      <c r="D462" s="38">
        <v>45901</v>
      </c>
      <c r="F462" s="2">
        <v>50</v>
      </c>
      <c r="G462" s="30"/>
      <c r="H462" s="15">
        <v>740</v>
      </c>
      <c r="I462" s="13">
        <f>F462*H462</f>
        <v>37000</v>
      </c>
      <c r="K462" s="72">
        <f>I462-SUM(G452)</f>
        <v>3750</v>
      </c>
      <c r="M462" s="69"/>
    </row>
    <row r="463" spans="1:13">
      <c r="B463" s="2" t="s">
        <v>132</v>
      </c>
      <c r="C463" s="77" t="s">
        <v>220</v>
      </c>
      <c r="D463" s="38">
        <v>45901</v>
      </c>
      <c r="F463" s="2">
        <v>50</v>
      </c>
      <c r="G463" s="30"/>
      <c r="H463" s="15">
        <v>740</v>
      </c>
      <c r="I463" s="13">
        <f>F463*H463</f>
        <v>37000</v>
      </c>
      <c r="K463" s="72">
        <f>I463-SUM(G453)</f>
        <v>3750</v>
      </c>
      <c r="M463" s="69"/>
    </row>
    <row r="464" spans="1:13">
      <c r="B464" s="2" t="s">
        <v>132</v>
      </c>
      <c r="C464" s="77" t="s">
        <v>220</v>
      </c>
      <c r="D464" s="38">
        <v>45901</v>
      </c>
      <c r="F464" s="2">
        <v>100</v>
      </c>
      <c r="G464" s="30"/>
      <c r="H464" s="15">
        <v>778.87</v>
      </c>
      <c r="I464" s="13">
        <f>F464*H464</f>
        <v>77887</v>
      </c>
      <c r="K464" s="72">
        <f>I464-SUM(G454)</f>
        <v>11952</v>
      </c>
      <c r="M464" s="69"/>
    </row>
    <row r="465" spans="1:13">
      <c r="D465" s="38"/>
      <c r="G465" s="13"/>
      <c r="I465" s="13"/>
      <c r="K465" s="72"/>
      <c r="M465" s="69"/>
    </row>
    <row r="466" spans="1:13">
      <c r="B466" s="2" t="s">
        <v>134</v>
      </c>
      <c r="C466" t="s">
        <v>220</v>
      </c>
      <c r="D466" s="38">
        <v>45335</v>
      </c>
      <c r="E466" s="53">
        <v>429.75</v>
      </c>
      <c r="F466" s="2">
        <v>100</v>
      </c>
      <c r="G466" s="13">
        <f>E466*F466</f>
        <v>42975</v>
      </c>
      <c r="M466" s="69"/>
    </row>
    <row r="467" spans="1:13">
      <c r="A467" s="70"/>
      <c r="B467" s="2" t="s">
        <v>134</v>
      </c>
      <c r="C467" t="s">
        <v>220</v>
      </c>
      <c r="D467" s="38">
        <v>45419</v>
      </c>
      <c r="E467" s="53">
        <v>576</v>
      </c>
      <c r="F467" s="2">
        <v>35</v>
      </c>
      <c r="G467" s="30"/>
      <c r="I467" s="13">
        <f>F467*E467</f>
        <v>20160</v>
      </c>
      <c r="K467" s="72"/>
      <c r="M467" s="69"/>
    </row>
    <row r="468" spans="1:13">
      <c r="A468" s="70"/>
      <c r="B468" s="2" t="s">
        <v>134</v>
      </c>
      <c r="C468" s="77" t="s">
        <v>220</v>
      </c>
      <c r="D468" s="38">
        <v>45425</v>
      </c>
      <c r="F468" s="2">
        <v>65</v>
      </c>
      <c r="G468" s="30"/>
      <c r="H468" s="15">
        <v>593</v>
      </c>
      <c r="I468" s="13">
        <f>F468*H468</f>
        <v>38545</v>
      </c>
      <c r="K468" s="72">
        <f>SUM(I467+I468)-G466</f>
        <v>15730</v>
      </c>
      <c r="M468" s="69"/>
    </row>
    <row r="469" spans="1:13">
      <c r="A469" s="70"/>
      <c r="D469" s="38"/>
      <c r="G469" s="13"/>
      <c r="I469" s="13"/>
      <c r="K469" s="72"/>
      <c r="M469" s="69"/>
    </row>
    <row r="470" spans="1:13">
      <c r="A470" s="70" t="s">
        <v>155</v>
      </c>
      <c r="B470" s="2" t="s">
        <v>135</v>
      </c>
      <c r="C470" t="s">
        <v>221</v>
      </c>
      <c r="D470" s="38">
        <v>45847</v>
      </c>
      <c r="E470" s="53">
        <v>176</v>
      </c>
      <c r="F470" s="2">
        <v>100</v>
      </c>
      <c r="G470" s="13">
        <f>E470*F470</f>
        <v>17600</v>
      </c>
      <c r="I470" s="13"/>
      <c r="K470" s="72"/>
      <c r="M470" s="69"/>
    </row>
    <row r="471" spans="1:13">
      <c r="A471" s="70"/>
      <c r="B471" s="2" t="s">
        <v>135</v>
      </c>
      <c r="C471" s="75" t="s">
        <v>221</v>
      </c>
      <c r="D471" s="38">
        <v>45874</v>
      </c>
      <c r="F471" s="2">
        <v>100</v>
      </c>
      <c r="G471" s="13"/>
      <c r="H471" s="15">
        <v>168.47</v>
      </c>
      <c r="I471" s="13">
        <f>H471*F471</f>
        <v>16847</v>
      </c>
      <c r="K471" s="72">
        <f>SUM(I446+I471)-G470</f>
        <v>-753</v>
      </c>
      <c r="M471" s="69"/>
    </row>
    <row r="472" spans="1:13">
      <c r="A472" s="70"/>
      <c r="D472" s="38"/>
      <c r="G472" s="13"/>
      <c r="I472" s="13"/>
      <c r="K472" s="72"/>
      <c r="M472" s="69"/>
    </row>
    <row r="473" spans="1:13">
      <c r="A473" s="70" t="s">
        <v>131</v>
      </c>
      <c r="B473" s="2" t="s">
        <v>132</v>
      </c>
      <c r="C473" t="s">
        <v>222</v>
      </c>
      <c r="D473" s="38">
        <v>45852</v>
      </c>
      <c r="E473" s="53">
        <v>3433</v>
      </c>
      <c r="F473" s="2">
        <v>10</v>
      </c>
      <c r="G473" s="13">
        <f>E473*F473</f>
        <v>34330</v>
      </c>
      <c r="I473" s="13"/>
      <c r="K473" s="72"/>
      <c r="M473" s="69"/>
    </row>
    <row r="474" spans="1:13">
      <c r="A474" s="70"/>
      <c r="B474" s="2" t="s">
        <v>132</v>
      </c>
      <c r="C474" t="s">
        <v>222</v>
      </c>
      <c r="D474" s="38">
        <v>45854</v>
      </c>
      <c r="E474" s="53">
        <v>3630</v>
      </c>
      <c r="F474" s="2">
        <v>20</v>
      </c>
      <c r="G474" s="13">
        <f>E474*F474</f>
        <v>72600</v>
      </c>
      <c r="I474" s="13"/>
      <c r="K474" s="72"/>
      <c r="M474" s="69"/>
    </row>
    <row r="475" spans="1:13">
      <c r="A475" s="70"/>
      <c r="B475" s="2" t="s">
        <v>132</v>
      </c>
      <c r="C475" s="77" t="s">
        <v>222</v>
      </c>
      <c r="D475" s="38">
        <v>45870</v>
      </c>
      <c r="F475" s="2">
        <v>30</v>
      </c>
      <c r="G475" s="13"/>
      <c r="H475" s="15">
        <v>3765.75</v>
      </c>
      <c r="I475" s="13">
        <f>F475*H475</f>
        <v>112972.5</v>
      </c>
      <c r="K475" s="72">
        <f>SUM(I475)-SUM(G473:G474)</f>
        <v>6042.5</v>
      </c>
      <c r="M475" s="69"/>
    </row>
    <row r="476" spans="1:13">
      <c r="A476" s="70"/>
      <c r="C476" s="77"/>
      <c r="D476" s="38"/>
      <c r="G476" s="13"/>
      <c r="I476" s="13"/>
      <c r="K476" s="72"/>
      <c r="M476" s="69"/>
    </row>
    <row r="477" spans="1:13">
      <c r="A477" s="70"/>
      <c r="B477" s="2" t="s">
        <v>135</v>
      </c>
      <c r="C477" t="s">
        <v>222</v>
      </c>
      <c r="D477" s="38">
        <v>45855</v>
      </c>
      <c r="E477" s="53">
        <v>3924</v>
      </c>
      <c r="F477" s="2">
        <v>14</v>
      </c>
      <c r="G477" s="13">
        <f>E477*F477</f>
        <v>54936</v>
      </c>
      <c r="I477" s="13"/>
      <c r="K477" s="72"/>
      <c r="M477" s="69"/>
    </row>
    <row r="478" spans="1:13">
      <c r="A478" s="70"/>
      <c r="B478" s="2" t="s">
        <v>135</v>
      </c>
      <c r="C478" s="75" t="s">
        <v>222</v>
      </c>
      <c r="D478" s="38">
        <v>45860</v>
      </c>
      <c r="F478" s="2">
        <v>14</v>
      </c>
      <c r="G478" s="13"/>
      <c r="H478" s="15">
        <v>3902.5</v>
      </c>
      <c r="I478" s="13">
        <f>F478*H478</f>
        <v>54635</v>
      </c>
      <c r="K478" s="72">
        <f>SUM(I478)-SUM(G475:G477)</f>
        <v>-301</v>
      </c>
      <c r="M478" s="69"/>
    </row>
    <row r="479" spans="1:13">
      <c r="A479" s="70"/>
      <c r="D479" s="38"/>
      <c r="G479" s="13"/>
      <c r="I479" s="13"/>
      <c r="K479" s="72"/>
      <c r="M479" s="69"/>
    </row>
    <row r="480" spans="1:13">
      <c r="A480" s="70"/>
      <c r="B480" s="2" t="s">
        <v>135</v>
      </c>
      <c r="C480" t="s">
        <v>223</v>
      </c>
      <c r="D480" s="38">
        <v>45877</v>
      </c>
      <c r="E480" s="53">
        <v>546</v>
      </c>
      <c r="F480" s="2">
        <v>10</v>
      </c>
      <c r="G480" s="13">
        <f>E480*F480</f>
        <v>5460</v>
      </c>
      <c r="I480" s="13"/>
      <c r="K480" s="72"/>
      <c r="M480" s="69"/>
    </row>
    <row r="481" spans="1:14">
      <c r="A481" s="70"/>
      <c r="B481" s="2" t="s">
        <v>135</v>
      </c>
      <c r="C481" s="77" t="s">
        <v>223</v>
      </c>
      <c r="D481" s="38">
        <v>45878</v>
      </c>
      <c r="F481" s="2">
        <v>10</v>
      </c>
      <c r="G481" s="13"/>
      <c r="H481" s="15">
        <v>560</v>
      </c>
      <c r="I481" s="13">
        <f>F481*H481</f>
        <v>5600</v>
      </c>
      <c r="K481" s="72">
        <f>SUM(I481)-SUM(G480)</f>
        <v>140</v>
      </c>
      <c r="M481" s="69"/>
    </row>
    <row r="482" spans="1:14">
      <c r="A482" s="70"/>
      <c r="D482" s="38"/>
      <c r="G482" s="13"/>
      <c r="I482" s="13"/>
      <c r="K482" s="72"/>
      <c r="M482" s="69"/>
    </row>
    <row r="483" spans="1:14">
      <c r="A483" s="78" t="s">
        <v>224</v>
      </c>
      <c r="B483" s="27"/>
      <c r="C483" s="26"/>
      <c r="D483" s="39"/>
      <c r="E483" s="54"/>
      <c r="F483" s="27"/>
      <c r="G483" s="28"/>
      <c r="H483" s="51"/>
      <c r="I483" s="28"/>
      <c r="J483" s="27"/>
      <c r="K483" s="31"/>
      <c r="L483" s="27"/>
      <c r="M483" s="84"/>
    </row>
    <row r="484" spans="1:14">
      <c r="A484" s="70" t="s">
        <v>155</v>
      </c>
      <c r="B484" s="2" t="s">
        <v>132</v>
      </c>
      <c r="C484" t="s">
        <v>225</v>
      </c>
      <c r="D484" s="38">
        <v>45868</v>
      </c>
      <c r="E484" s="53">
        <v>602</v>
      </c>
      <c r="F484" s="2">
        <v>10</v>
      </c>
      <c r="G484" s="13">
        <f>E484*F484</f>
        <v>6020</v>
      </c>
      <c r="I484" s="13"/>
      <c r="K484" s="72"/>
      <c r="M484" s="69"/>
    </row>
    <row r="485" spans="1:14">
      <c r="A485" s="70"/>
      <c r="B485" s="2" t="s">
        <v>132</v>
      </c>
      <c r="C485" t="s">
        <v>225</v>
      </c>
      <c r="D485" s="38">
        <v>45870</v>
      </c>
      <c r="E485" s="53">
        <v>629.85</v>
      </c>
      <c r="F485" s="2">
        <v>50</v>
      </c>
      <c r="G485" s="13">
        <f>E485*F485</f>
        <v>31492.5</v>
      </c>
      <c r="I485" s="13"/>
      <c r="K485" s="72"/>
      <c r="M485" s="69"/>
    </row>
    <row r="486" spans="1:14">
      <c r="A486" s="70"/>
      <c r="B486" s="2" t="s">
        <v>132</v>
      </c>
      <c r="C486" t="s">
        <v>225</v>
      </c>
      <c r="D486" s="38">
        <v>45870</v>
      </c>
      <c r="E486" s="53">
        <v>628</v>
      </c>
      <c r="F486" s="2">
        <v>40</v>
      </c>
      <c r="G486" s="13">
        <f>E486*F486</f>
        <v>25120</v>
      </c>
      <c r="I486" s="13"/>
      <c r="K486" s="72"/>
      <c r="M486" s="69"/>
    </row>
    <row r="487" spans="1:14">
      <c r="A487" s="70"/>
      <c r="B487" s="2" t="s">
        <v>132</v>
      </c>
      <c r="C487" t="s">
        <v>225</v>
      </c>
      <c r="D487" s="38">
        <v>45870</v>
      </c>
      <c r="E487" s="53">
        <v>620</v>
      </c>
      <c r="F487" s="2">
        <v>50</v>
      </c>
      <c r="G487" s="13">
        <f>E487*F487</f>
        <v>31000</v>
      </c>
      <c r="I487" s="13"/>
      <c r="K487" s="72"/>
      <c r="M487" s="69"/>
    </row>
    <row r="488" spans="1:14">
      <c r="A488" s="70"/>
      <c r="B488" s="2" t="s">
        <v>132</v>
      </c>
      <c r="C488" t="s">
        <v>225</v>
      </c>
      <c r="D488" s="38">
        <v>45870</v>
      </c>
      <c r="E488" s="53">
        <v>622</v>
      </c>
      <c r="F488" s="2">
        <v>50</v>
      </c>
      <c r="G488" s="13">
        <f>E488*F488</f>
        <v>31100</v>
      </c>
      <c r="I488" s="13"/>
      <c r="K488" s="72"/>
      <c r="M488" s="69"/>
    </row>
    <row r="489" spans="1:14">
      <c r="A489" s="70"/>
      <c r="B489" s="2" t="s">
        <v>132</v>
      </c>
      <c r="C489" s="97" t="s">
        <v>225</v>
      </c>
      <c r="D489" s="38">
        <v>45874</v>
      </c>
      <c r="F489" s="2">
        <v>200</v>
      </c>
      <c r="G489" s="13"/>
      <c r="H489" s="15">
        <v>631.39</v>
      </c>
      <c r="I489" s="13">
        <f>F489*H489</f>
        <v>126278</v>
      </c>
      <c r="K489" s="72">
        <f>SUM(I489)-SUM(G484:G488)</f>
        <v>1545.5</v>
      </c>
      <c r="M489" s="69"/>
    </row>
    <row r="490" spans="1:14">
      <c r="A490" s="70"/>
      <c r="B490" s="2" t="s">
        <v>132</v>
      </c>
      <c r="C490" t="s">
        <v>225</v>
      </c>
      <c r="D490" s="38">
        <v>45883</v>
      </c>
      <c r="E490" s="53">
        <v>595</v>
      </c>
      <c r="F490" s="2">
        <v>10</v>
      </c>
      <c r="G490" s="13">
        <f>E490*F490</f>
        <v>5950</v>
      </c>
      <c r="I490" s="13"/>
      <c r="K490" s="72"/>
      <c r="M490" s="69"/>
      <c r="N490" s="81"/>
    </row>
    <row r="491" spans="1:14">
      <c r="A491" s="70"/>
      <c r="B491" s="2" t="s">
        <v>132</v>
      </c>
      <c r="C491" s="97" t="s">
        <v>225</v>
      </c>
      <c r="D491" s="38">
        <v>45908</v>
      </c>
      <c r="F491" s="2">
        <v>10</v>
      </c>
      <c r="G491" s="13"/>
      <c r="H491" s="15">
        <v>613</v>
      </c>
      <c r="I491" s="13">
        <f>F491*H491</f>
        <v>6130</v>
      </c>
      <c r="K491" s="72">
        <f>SUM(I491)-SUM(G490)</f>
        <v>180</v>
      </c>
      <c r="M491" s="69"/>
    </row>
    <row r="492" spans="1:14">
      <c r="A492" s="76"/>
      <c r="B492" s="45"/>
      <c r="C492" s="44"/>
      <c r="D492" s="46"/>
      <c r="E492" s="55"/>
      <c r="F492" s="45"/>
      <c r="G492" s="49"/>
      <c r="H492" s="52"/>
      <c r="I492" s="47"/>
      <c r="J492" s="45"/>
      <c r="K492" s="50"/>
      <c r="L492" s="45"/>
      <c r="M492" s="82"/>
    </row>
    <row r="493" spans="1:14">
      <c r="A493" s="70" t="s">
        <v>226</v>
      </c>
      <c r="D493" s="38"/>
      <c r="G493" s="30"/>
      <c r="I493" s="13"/>
      <c r="K493" s="72"/>
      <c r="M493" s="69"/>
      <c r="N493" s="81"/>
    </row>
    <row r="494" spans="1:14">
      <c r="A494" s="70" t="s">
        <v>131</v>
      </c>
      <c r="B494" s="2" t="s">
        <v>135</v>
      </c>
      <c r="C494" t="s">
        <v>227</v>
      </c>
      <c r="D494" s="38">
        <v>45673</v>
      </c>
      <c r="E494" s="53">
        <v>3600</v>
      </c>
      <c r="F494" s="2">
        <v>10</v>
      </c>
      <c r="G494" s="13">
        <f>E494*F494</f>
        <v>36000</v>
      </c>
      <c r="I494" s="13"/>
      <c r="K494" s="72"/>
      <c r="M494" s="69"/>
      <c r="N494" s="81"/>
    </row>
    <row r="495" spans="1:14">
      <c r="A495" s="70"/>
      <c r="B495" s="2" t="s">
        <v>135</v>
      </c>
      <c r="C495" s="77" t="s">
        <v>227</v>
      </c>
      <c r="D495" s="38">
        <v>45754</v>
      </c>
      <c r="F495" s="2">
        <v>10</v>
      </c>
      <c r="G495" s="13"/>
      <c r="H495" s="15">
        <v>3761.2</v>
      </c>
      <c r="I495" s="13">
        <f>F495*H495</f>
        <v>37612</v>
      </c>
      <c r="K495" s="72">
        <f>SUM(I495)-SUM(G493:G494)</f>
        <v>1612</v>
      </c>
      <c r="M495" s="73">
        <f>(SUM(K495)/SUM(G494))</f>
        <v>4.4777777777777777E-2</v>
      </c>
      <c r="N495" s="81"/>
    </row>
    <row r="496" spans="1:14">
      <c r="A496" s="70"/>
      <c r="B496" s="2" t="s">
        <v>135</v>
      </c>
      <c r="C496" t="s">
        <v>227</v>
      </c>
      <c r="D496" s="38">
        <v>45791</v>
      </c>
      <c r="E496" s="53">
        <v>4050.85</v>
      </c>
      <c r="F496" s="2">
        <v>10</v>
      </c>
      <c r="G496" s="13">
        <f>E496*F496</f>
        <v>40508.5</v>
      </c>
      <c r="I496" s="13"/>
      <c r="M496" s="69"/>
      <c r="N496" s="81"/>
    </row>
    <row r="497" spans="1:14">
      <c r="A497" s="70"/>
      <c r="B497" s="2" t="s">
        <v>135</v>
      </c>
      <c r="C497" s="77" t="s">
        <v>227</v>
      </c>
      <c r="D497" s="38">
        <v>45873</v>
      </c>
      <c r="F497" s="2">
        <v>10</v>
      </c>
      <c r="G497" s="13"/>
      <c r="H497" s="15">
        <v>4190.3500000000004</v>
      </c>
      <c r="I497" s="13">
        <f>F497*H497</f>
        <v>41903.5</v>
      </c>
      <c r="K497" s="72">
        <f>SUM(I497)-SUM(G496)</f>
        <v>1395</v>
      </c>
      <c r="M497" s="73">
        <f>(SUM(K497)/SUM(G496))</f>
        <v>3.4437216880407816E-2</v>
      </c>
    </row>
    <row r="498" spans="1:14">
      <c r="A498" s="70"/>
      <c r="M498" s="69"/>
    </row>
    <row r="499" spans="1:14">
      <c r="A499" s="70"/>
      <c r="B499" s="2" t="s">
        <v>132</v>
      </c>
      <c r="C499" t="s">
        <v>227</v>
      </c>
      <c r="D499" s="38">
        <v>45818</v>
      </c>
      <c r="E499" s="53">
        <v>4078.87</v>
      </c>
      <c r="F499" s="2">
        <v>24</v>
      </c>
      <c r="G499" s="13">
        <f>E499*F499</f>
        <v>97892.88</v>
      </c>
      <c r="I499" s="13"/>
      <c r="M499" s="69"/>
    </row>
    <row r="500" spans="1:14">
      <c r="A500" s="70"/>
      <c r="B500" s="2" t="s">
        <v>132</v>
      </c>
      <c r="C500" t="s">
        <v>227</v>
      </c>
      <c r="D500" s="38">
        <v>45866</v>
      </c>
      <c r="E500" s="53">
        <v>4001.8</v>
      </c>
      <c r="F500" s="2">
        <v>6</v>
      </c>
      <c r="G500" s="13">
        <f>E500*F500</f>
        <v>24010.800000000003</v>
      </c>
      <c r="I500" s="13"/>
      <c r="M500" s="69"/>
    </row>
    <row r="501" spans="1:14">
      <c r="A501" s="70"/>
      <c r="B501" s="2" t="s">
        <v>132</v>
      </c>
      <c r="C501" s="77" t="s">
        <v>227</v>
      </c>
      <c r="D501" s="38">
        <v>45870</v>
      </c>
      <c r="F501" s="2">
        <v>30</v>
      </c>
      <c r="G501" s="13"/>
      <c r="H501" s="15">
        <v>4196</v>
      </c>
      <c r="I501" s="13">
        <f>F501*H501</f>
        <v>125880</v>
      </c>
      <c r="K501" s="72">
        <f>SUM(I501)-SUM(G499:G500)</f>
        <v>3976.3199999999924</v>
      </c>
      <c r="M501" s="73">
        <f>(SUM(K501)/SUM(G499:G500))</f>
        <v>3.2618539489537905E-2</v>
      </c>
    </row>
    <row r="502" spans="1:14">
      <c r="A502" s="76"/>
      <c r="B502" s="45"/>
      <c r="C502" s="44"/>
      <c r="D502" s="46"/>
      <c r="E502" s="55"/>
      <c r="F502" s="45"/>
      <c r="G502" s="49"/>
      <c r="H502" s="52"/>
      <c r="I502" s="47"/>
      <c r="J502" s="45"/>
      <c r="K502" s="50"/>
      <c r="L502" s="45"/>
      <c r="M502" s="82"/>
    </row>
    <row r="503" spans="1:14">
      <c r="A503" s="70" t="s">
        <v>228</v>
      </c>
      <c r="D503" s="38"/>
      <c r="G503" s="30"/>
      <c r="I503" s="13"/>
      <c r="M503" s="69"/>
    </row>
    <row r="504" spans="1:14">
      <c r="A504" s="70" t="s">
        <v>229</v>
      </c>
      <c r="B504" s="2" t="s">
        <v>132</v>
      </c>
      <c r="C504" t="s">
        <v>230</v>
      </c>
      <c r="D504" s="38">
        <v>45821</v>
      </c>
      <c r="E504" s="53">
        <v>98.11</v>
      </c>
      <c r="F504" s="2">
        <v>9</v>
      </c>
      <c r="G504" s="13">
        <f>E504*F504</f>
        <v>882.99</v>
      </c>
      <c r="I504" s="13"/>
      <c r="M504" s="73"/>
    </row>
    <row r="505" spans="1:14">
      <c r="A505" s="70"/>
      <c r="B505" s="2" t="s">
        <v>132</v>
      </c>
      <c r="C505" t="s">
        <v>230</v>
      </c>
      <c r="D505" s="38">
        <v>45821</v>
      </c>
      <c r="E505" s="53">
        <v>98.2</v>
      </c>
      <c r="F505" s="2">
        <v>6</v>
      </c>
      <c r="G505" s="13">
        <f>E505*F505</f>
        <v>589.20000000000005</v>
      </c>
      <c r="I505" s="13"/>
      <c r="M505" s="69"/>
    </row>
    <row r="506" spans="1:14">
      <c r="A506" s="70"/>
      <c r="B506" s="2" t="s">
        <v>132</v>
      </c>
      <c r="C506" s="75" t="s">
        <v>230</v>
      </c>
      <c r="D506" s="38">
        <v>45860</v>
      </c>
      <c r="F506" s="2">
        <v>15</v>
      </c>
      <c r="G506" s="30"/>
      <c r="H506" s="15">
        <v>95.71</v>
      </c>
      <c r="I506" s="13">
        <f>F506*H506</f>
        <v>1435.6499999999999</v>
      </c>
      <c r="K506" s="72">
        <f>SUM(I506)-SUM(G504:G505)</f>
        <v>-36.540000000000191</v>
      </c>
      <c r="M506" s="73">
        <f>(SUM(K506)/SUM(G504:G505))</f>
        <v>-2.4820165875328721E-2</v>
      </c>
    </row>
    <row r="507" spans="1:14">
      <c r="A507" s="70"/>
      <c r="D507" s="38"/>
      <c r="G507" s="30"/>
      <c r="I507" s="13"/>
      <c r="J507" s="45"/>
      <c r="K507" s="50"/>
      <c r="L507" s="45"/>
      <c r="M507" s="82"/>
      <c r="N507" s="81"/>
    </row>
    <row r="508" spans="1:14">
      <c r="A508" s="68" t="s">
        <v>231</v>
      </c>
      <c r="B508" s="27"/>
      <c r="C508" s="26"/>
      <c r="D508" s="40"/>
      <c r="E508" s="54"/>
      <c r="F508" s="27"/>
      <c r="G508" s="28"/>
      <c r="H508" s="51"/>
      <c r="I508" s="27"/>
      <c r="M508" s="69"/>
    </row>
    <row r="509" spans="1:14">
      <c r="A509" s="70" t="s">
        <v>138</v>
      </c>
      <c r="B509" s="2" t="s">
        <v>134</v>
      </c>
      <c r="C509" t="s">
        <v>232</v>
      </c>
      <c r="D509" s="38">
        <v>45306</v>
      </c>
      <c r="E509" s="53">
        <v>48.8</v>
      </c>
      <c r="F509" s="2">
        <v>600</v>
      </c>
      <c r="G509" s="13">
        <f>E509*F509</f>
        <v>29280</v>
      </c>
      <c r="M509" s="69"/>
    </row>
    <row r="510" spans="1:14">
      <c r="A510" s="70"/>
      <c r="C510" t="s">
        <v>232</v>
      </c>
      <c r="D510" s="38">
        <v>45324</v>
      </c>
      <c r="E510" s="53">
        <v>47.65</v>
      </c>
      <c r="F510" s="2">
        <v>500</v>
      </c>
      <c r="G510" s="13">
        <f>E510*F510</f>
        <v>23825</v>
      </c>
      <c r="M510" s="69"/>
    </row>
    <row r="511" spans="1:14">
      <c r="A511" s="70"/>
      <c r="C511" s="77" t="s">
        <v>232</v>
      </c>
      <c r="D511" s="38">
        <v>45334</v>
      </c>
      <c r="F511" s="2">
        <v>1100</v>
      </c>
      <c r="G511" s="30"/>
      <c r="H511" s="15">
        <v>50.45</v>
      </c>
      <c r="I511" s="13">
        <f>F511*H511</f>
        <v>55495</v>
      </c>
      <c r="K511" s="72">
        <f>SUM(I511)-SUM(G509:G510)</f>
        <v>2390</v>
      </c>
      <c r="M511" s="69"/>
      <c r="N511" s="81"/>
    </row>
    <row r="512" spans="1:14">
      <c r="A512" s="70"/>
      <c r="B512" s="2" t="s">
        <v>132</v>
      </c>
      <c r="D512" s="38">
        <v>45405</v>
      </c>
      <c r="E512" s="53">
        <v>47.4</v>
      </c>
      <c r="F512" s="2">
        <v>790</v>
      </c>
      <c r="G512" s="13">
        <f t="shared" ref="G512:G521" si="58">E512*F512</f>
        <v>37446</v>
      </c>
      <c r="I512" s="13"/>
      <c r="K512" s="72"/>
      <c r="M512" s="69"/>
    </row>
    <row r="513" spans="1:14">
      <c r="A513" s="70"/>
      <c r="D513" s="38">
        <v>45446</v>
      </c>
      <c r="E513" s="53">
        <v>42.3</v>
      </c>
      <c r="F513" s="2">
        <v>210</v>
      </c>
      <c r="G513" s="13">
        <f t="shared" si="58"/>
        <v>8883</v>
      </c>
      <c r="I513" s="13"/>
      <c r="K513" s="72"/>
      <c r="M513" s="69"/>
    </row>
    <row r="514" spans="1:14">
      <c r="A514" s="70"/>
      <c r="D514" s="38">
        <v>45478</v>
      </c>
      <c r="E514" s="53">
        <v>41.8</v>
      </c>
      <c r="F514" s="2">
        <v>555</v>
      </c>
      <c r="G514" s="13">
        <f t="shared" si="58"/>
        <v>23199</v>
      </c>
      <c r="I514" s="13"/>
      <c r="K514" s="72"/>
      <c r="M514" s="69"/>
    </row>
    <row r="515" spans="1:14">
      <c r="A515" s="70"/>
      <c r="D515" s="38">
        <v>45484</v>
      </c>
      <c r="E515" s="53">
        <v>41.31</v>
      </c>
      <c r="F515" s="2">
        <v>288</v>
      </c>
      <c r="G515" s="13">
        <f t="shared" si="58"/>
        <v>11897.28</v>
      </c>
      <c r="I515" s="13"/>
      <c r="K515" s="72"/>
      <c r="M515" s="69"/>
    </row>
    <row r="516" spans="1:14">
      <c r="A516" s="70"/>
      <c r="D516" s="38">
        <v>45495</v>
      </c>
      <c r="E516" s="53">
        <v>40.200000000000003</v>
      </c>
      <c r="F516" s="2">
        <v>2</v>
      </c>
      <c r="G516" s="13">
        <f t="shared" si="58"/>
        <v>80.400000000000006</v>
      </c>
      <c r="I516" s="13"/>
      <c r="K516" s="72"/>
      <c r="M516" s="69"/>
    </row>
    <row r="517" spans="1:14">
      <c r="A517" s="70"/>
      <c r="B517" s="2" t="s">
        <v>132</v>
      </c>
      <c r="D517" s="38">
        <v>45625</v>
      </c>
      <c r="E517" s="53">
        <v>44</v>
      </c>
      <c r="F517" s="2">
        <v>1000</v>
      </c>
      <c r="G517" s="30"/>
      <c r="H517" s="15">
        <v>18.5</v>
      </c>
      <c r="I517" s="13">
        <f>F517*18.32</f>
        <v>18320</v>
      </c>
      <c r="M517" s="69"/>
    </row>
    <row r="518" spans="1:14">
      <c r="A518" s="70"/>
      <c r="B518" s="2" t="s">
        <v>132</v>
      </c>
      <c r="C518" s="75" t="s">
        <v>232</v>
      </c>
      <c r="D518" s="38">
        <v>45629</v>
      </c>
      <c r="F518" s="2">
        <v>2690</v>
      </c>
      <c r="G518" s="30"/>
      <c r="H518" s="15">
        <v>17.05</v>
      </c>
      <c r="I518" s="13">
        <f>F518*18.32</f>
        <v>49280.800000000003</v>
      </c>
      <c r="K518" s="72">
        <f>SUM(I517:I518)-SUM(G512:G516)</f>
        <v>-13904.87999999999</v>
      </c>
      <c r="M518" s="69"/>
      <c r="N518" s="81"/>
    </row>
    <row r="519" spans="1:14">
      <c r="A519" s="70"/>
      <c r="C519" s="75"/>
      <c r="D519" s="38"/>
      <c r="G519" s="30"/>
      <c r="I519" s="13"/>
      <c r="K519" s="72"/>
      <c r="M519" s="69"/>
      <c r="N519" s="81"/>
    </row>
    <row r="520" spans="1:14">
      <c r="A520" s="70"/>
      <c r="B520" s="2" t="s">
        <v>135</v>
      </c>
      <c r="D520" s="38">
        <v>45560</v>
      </c>
      <c r="E520" s="53">
        <v>37.58</v>
      </c>
      <c r="F520" s="2">
        <v>780</v>
      </c>
      <c r="G520" s="13">
        <f t="shared" si="58"/>
        <v>29312.399999999998</v>
      </c>
      <c r="I520" s="13"/>
      <c r="K520" s="72"/>
      <c r="M520" s="69"/>
    </row>
    <row r="521" spans="1:14">
      <c r="A521" s="70"/>
      <c r="D521" s="38">
        <v>45573</v>
      </c>
      <c r="E521" s="53">
        <v>33.06</v>
      </c>
      <c r="F521" s="2">
        <v>211</v>
      </c>
      <c r="G521" s="13">
        <f t="shared" si="58"/>
        <v>6975.6600000000008</v>
      </c>
      <c r="I521" s="13"/>
      <c r="K521" s="72"/>
      <c r="M521" s="69"/>
    </row>
    <row r="522" spans="1:14">
      <c r="A522" s="70"/>
      <c r="B522" s="2" t="s">
        <v>135</v>
      </c>
      <c r="C522" s="75" t="s">
        <v>232</v>
      </c>
      <c r="D522" s="38">
        <v>45625</v>
      </c>
      <c r="F522" s="2">
        <v>900</v>
      </c>
      <c r="G522" s="30"/>
      <c r="H522" s="15">
        <v>18.32</v>
      </c>
      <c r="I522" s="13">
        <f>F522*18.32</f>
        <v>16488</v>
      </c>
      <c r="K522" s="72">
        <f>SUM(I522:I523)-SUM(G520:G521)</f>
        <v>-1287.0399999999936</v>
      </c>
      <c r="M522" s="69"/>
    </row>
    <row r="523" spans="1:14">
      <c r="A523" s="70"/>
      <c r="D523" s="38"/>
      <c r="F523" s="2">
        <v>1082</v>
      </c>
      <c r="G523" s="30"/>
      <c r="H523" s="15">
        <v>17.11</v>
      </c>
      <c r="I523" s="13">
        <f>F523*17.11</f>
        <v>18513.02</v>
      </c>
      <c r="K523" s="72"/>
      <c r="M523" s="69"/>
      <c r="N523" s="81"/>
    </row>
    <row r="524" spans="1:14">
      <c r="A524" s="70"/>
      <c r="D524" s="38"/>
      <c r="G524" s="30"/>
      <c r="I524" s="13"/>
      <c r="K524" s="72"/>
      <c r="M524" s="69"/>
    </row>
    <row r="525" spans="1:14">
      <c r="A525" s="70"/>
      <c r="B525" s="2" t="s">
        <v>135</v>
      </c>
      <c r="C525" t="s">
        <v>233</v>
      </c>
      <c r="D525" s="38">
        <v>45700</v>
      </c>
      <c r="E525" s="53">
        <v>214.98</v>
      </c>
      <c r="F525" s="2">
        <v>186</v>
      </c>
      <c r="G525" s="13">
        <f t="shared" ref="G525" si="59">E525*F525</f>
        <v>39986.28</v>
      </c>
      <c r="I525" s="13"/>
      <c r="K525" s="72"/>
      <c r="M525" s="69"/>
      <c r="N525" s="81"/>
    </row>
    <row r="526" spans="1:14">
      <c r="A526" s="70"/>
      <c r="B526" s="2" t="s">
        <v>135</v>
      </c>
      <c r="C526" s="77" t="s">
        <v>233</v>
      </c>
      <c r="D526" s="38">
        <v>45764</v>
      </c>
      <c r="F526" s="2">
        <v>186</v>
      </c>
      <c r="G526" s="13"/>
      <c r="H526" s="15">
        <v>225.38</v>
      </c>
      <c r="I526" s="13">
        <f>F526*H526</f>
        <v>41920.68</v>
      </c>
      <c r="K526" s="72">
        <f>SUM(I526)-SUM(G525)</f>
        <v>1934.4000000000015</v>
      </c>
      <c r="M526" s="69"/>
    </row>
    <row r="527" spans="1:14">
      <c r="C527" s="10"/>
      <c r="D527" s="85"/>
      <c r="E527" s="64"/>
      <c r="F527" s="119"/>
      <c r="G527" s="30"/>
      <c r="H527" s="65"/>
      <c r="I527" s="119"/>
      <c r="J527" s="119"/>
      <c r="K527" s="66"/>
      <c r="M527" s="69"/>
    </row>
    <row r="528" spans="1:14">
      <c r="A528" s="70"/>
      <c r="C528" s="87"/>
      <c r="D528" s="85"/>
      <c r="E528" s="64"/>
      <c r="F528" s="119"/>
      <c r="G528" s="119"/>
      <c r="H528" s="30"/>
      <c r="I528" s="30"/>
      <c r="J528" s="119"/>
      <c r="K528" s="86"/>
      <c r="M528" s="69"/>
    </row>
    <row r="529" spans="1:13">
      <c r="A529" s="70"/>
      <c r="D529" s="38"/>
      <c r="G529" s="30"/>
      <c r="J529" s="45"/>
      <c r="K529" s="50"/>
      <c r="L529" s="45"/>
      <c r="M529" s="82"/>
    </row>
    <row r="530" spans="1:13">
      <c r="A530" s="68" t="s">
        <v>234</v>
      </c>
      <c r="B530" s="27"/>
      <c r="C530" s="26"/>
      <c r="D530" s="40"/>
      <c r="E530" s="54"/>
      <c r="F530" s="27"/>
      <c r="G530" s="28"/>
      <c r="H530" s="51"/>
      <c r="I530" s="27"/>
      <c r="J530" s="27"/>
      <c r="K530" s="29"/>
      <c r="M530" s="69"/>
    </row>
    <row r="531" spans="1:13">
      <c r="A531" s="70" t="s">
        <v>153</v>
      </c>
      <c r="B531" s="2" t="s">
        <v>134</v>
      </c>
      <c r="C531" t="s">
        <v>235</v>
      </c>
      <c r="D531" s="38">
        <v>45322</v>
      </c>
      <c r="E531" s="53">
        <v>5000</v>
      </c>
      <c r="F531" s="2">
        <v>1.2</v>
      </c>
      <c r="G531" s="13">
        <f>F531*E531</f>
        <v>6000</v>
      </c>
      <c r="M531" s="69"/>
    </row>
    <row r="532" spans="1:13">
      <c r="A532" s="70"/>
      <c r="C532" s="75" t="s">
        <v>235</v>
      </c>
      <c r="D532" s="38">
        <v>45324</v>
      </c>
      <c r="F532" s="2">
        <v>1</v>
      </c>
      <c r="H532" s="15">
        <v>5000</v>
      </c>
      <c r="I532" s="13">
        <f>F532*H532</f>
        <v>5000</v>
      </c>
      <c r="K532" s="72">
        <f>SUM(I532)-SUM(G530:G531)</f>
        <v>-1000</v>
      </c>
      <c r="M532" s="69"/>
    </row>
    <row r="533" spans="1:13">
      <c r="A533" s="70"/>
      <c r="D533" s="38"/>
      <c r="I533" s="13"/>
      <c r="K533" s="72"/>
      <c r="M533" s="69"/>
    </row>
    <row r="534" spans="1:13">
      <c r="A534" s="70" t="s">
        <v>131</v>
      </c>
      <c r="B534" s="2" t="s">
        <v>132</v>
      </c>
      <c r="C534" t="s">
        <v>236</v>
      </c>
      <c r="D534" s="38">
        <v>45847</v>
      </c>
      <c r="E534" s="53">
        <v>6625</v>
      </c>
      <c r="F534" s="2">
        <v>10</v>
      </c>
      <c r="G534" s="13">
        <f>F534*E534</f>
        <v>66250</v>
      </c>
      <c r="I534" s="13"/>
      <c r="K534" s="72"/>
      <c r="M534" s="69"/>
    </row>
    <row r="535" spans="1:13">
      <c r="A535" s="70"/>
      <c r="B535" s="2" t="s">
        <v>132</v>
      </c>
      <c r="C535" s="77" t="s">
        <v>236</v>
      </c>
      <c r="D535" s="38">
        <v>45872</v>
      </c>
      <c r="F535" s="2">
        <v>10</v>
      </c>
      <c r="H535" s="15">
        <v>6806</v>
      </c>
      <c r="I535" s="13">
        <f>F535*H535</f>
        <v>68060</v>
      </c>
      <c r="K535" s="72">
        <f>SUM(I535)-SUM(G533:G534)</f>
        <v>1810</v>
      </c>
      <c r="M535" s="69"/>
    </row>
    <row r="536" spans="1:13">
      <c r="A536" s="70"/>
      <c r="D536" s="79"/>
      <c r="G536" s="13"/>
      <c r="J536" s="45"/>
      <c r="K536" s="50"/>
      <c r="L536" s="45"/>
      <c r="M536" s="82"/>
    </row>
    <row r="537" spans="1:13">
      <c r="A537" s="68" t="s">
        <v>237</v>
      </c>
      <c r="B537" s="27"/>
      <c r="C537" s="26"/>
      <c r="D537" s="40"/>
      <c r="E537" s="54"/>
      <c r="F537" s="27"/>
      <c r="G537" s="28"/>
      <c r="H537" s="51"/>
      <c r="I537" s="27"/>
      <c r="J537" s="27"/>
      <c r="K537" s="29"/>
      <c r="M537" s="69"/>
    </row>
    <row r="538" spans="1:13" ht="15" customHeight="1">
      <c r="A538" s="70" t="s">
        <v>138</v>
      </c>
      <c r="B538" s="2" t="s">
        <v>134</v>
      </c>
      <c r="C538" t="s">
        <v>238</v>
      </c>
      <c r="D538" s="38">
        <v>45323</v>
      </c>
      <c r="E538" s="53">
        <v>34.5</v>
      </c>
      <c r="F538" s="2">
        <v>150</v>
      </c>
      <c r="G538" s="13">
        <f>E538*F538</f>
        <v>5175</v>
      </c>
      <c r="M538" s="69"/>
    </row>
    <row r="539" spans="1:13" ht="15" customHeight="1">
      <c r="A539" s="70"/>
      <c r="C539" s="75" t="s">
        <v>238</v>
      </c>
      <c r="D539" s="38">
        <v>45334</v>
      </c>
      <c r="E539" s="53">
        <v>33.15</v>
      </c>
      <c r="F539" s="2">
        <v>150</v>
      </c>
      <c r="G539" s="13"/>
      <c r="I539" s="13">
        <f>E539*F539</f>
        <v>4972.5</v>
      </c>
      <c r="K539" s="72">
        <f>SUM(I539)-SUM(G537:G538)</f>
        <v>-202.5</v>
      </c>
      <c r="M539" s="69"/>
    </row>
    <row r="540" spans="1:13">
      <c r="A540" s="70"/>
      <c r="C540" s="75"/>
      <c r="D540" s="38"/>
      <c r="G540" s="13"/>
      <c r="I540" s="13"/>
      <c r="K540" s="72"/>
      <c r="M540" s="69"/>
    </row>
    <row r="541" spans="1:13">
      <c r="A541" s="70"/>
      <c r="B541" s="2" t="s">
        <v>135</v>
      </c>
      <c r="C541" t="s">
        <v>239</v>
      </c>
      <c r="D541" s="38">
        <v>45523</v>
      </c>
      <c r="E541" s="53">
        <v>3.09</v>
      </c>
      <c r="F541" s="2">
        <v>5</v>
      </c>
      <c r="G541" s="13">
        <f>E541*F541</f>
        <v>15.45</v>
      </c>
      <c r="I541" s="13"/>
      <c r="K541" s="72"/>
      <c r="M541" s="69"/>
    </row>
    <row r="542" spans="1:13">
      <c r="A542" s="70"/>
      <c r="C542" t="s">
        <v>239</v>
      </c>
      <c r="D542" s="38">
        <v>45524</v>
      </c>
      <c r="E542" s="53">
        <v>3.29</v>
      </c>
      <c r="F542" s="2">
        <v>96</v>
      </c>
      <c r="G542" s="13">
        <f>E542*F542</f>
        <v>315.84000000000003</v>
      </c>
      <c r="I542" s="13"/>
      <c r="K542" s="72"/>
      <c r="M542" s="69"/>
    </row>
    <row r="543" spans="1:13">
      <c r="A543" s="70"/>
      <c r="C543" t="s">
        <v>239</v>
      </c>
      <c r="D543" s="38">
        <v>45524</v>
      </c>
      <c r="E543" s="53">
        <v>3.27</v>
      </c>
      <c r="F543" s="2">
        <v>4</v>
      </c>
      <c r="G543" s="13">
        <f>E543*F543</f>
        <v>13.08</v>
      </c>
      <c r="I543" s="13"/>
      <c r="K543" s="72"/>
      <c r="M543" s="69"/>
    </row>
    <row r="544" spans="1:13">
      <c r="A544" s="70"/>
      <c r="C544" t="s">
        <v>239</v>
      </c>
      <c r="D544" s="38">
        <v>45531</v>
      </c>
      <c r="E544" s="53">
        <v>3.39</v>
      </c>
      <c r="F544" s="2">
        <v>65</v>
      </c>
      <c r="G544" s="13">
        <f>E544*F544</f>
        <v>220.35</v>
      </c>
      <c r="I544" s="13"/>
      <c r="K544" s="72"/>
      <c r="M544" s="69"/>
    </row>
    <row r="545" spans="1:14">
      <c r="A545" s="70"/>
      <c r="B545" s="2" t="s">
        <v>135</v>
      </c>
      <c r="C545" s="75" t="s">
        <v>239</v>
      </c>
      <c r="D545" s="38">
        <v>45552</v>
      </c>
      <c r="F545" s="2">
        <v>170</v>
      </c>
      <c r="H545" s="15">
        <v>3.23</v>
      </c>
      <c r="I545" s="13">
        <f>H545*F545</f>
        <v>549.1</v>
      </c>
      <c r="K545" s="72">
        <f>SUM(I545)-SUM(G541:G544)</f>
        <v>-15.620000000000005</v>
      </c>
      <c r="M545" s="69"/>
    </row>
    <row r="546" spans="1:14">
      <c r="A546" s="70"/>
      <c r="D546" s="38"/>
      <c r="I546" s="13"/>
      <c r="K546" s="72"/>
      <c r="M546" s="69"/>
    </row>
    <row r="547" spans="1:14">
      <c r="A547" s="80" t="s">
        <v>237</v>
      </c>
      <c r="B547" s="2" t="s">
        <v>132</v>
      </c>
      <c r="C547" t="s">
        <v>240</v>
      </c>
      <c r="D547" s="38">
        <v>45820</v>
      </c>
      <c r="E547" s="53">
        <v>4529</v>
      </c>
      <c r="F547" s="2">
        <v>17</v>
      </c>
      <c r="G547" s="13">
        <f>E547*F547</f>
        <v>76993</v>
      </c>
      <c r="I547" s="13"/>
      <c r="K547" s="72"/>
      <c r="M547" s="69"/>
      <c r="N547" s="81"/>
    </row>
    <row r="548" spans="1:14">
      <c r="A548" s="70" t="s">
        <v>131</v>
      </c>
      <c r="B548" s="2" t="s">
        <v>132</v>
      </c>
      <c r="C548" t="s">
        <v>240</v>
      </c>
      <c r="D548" s="38">
        <v>45821</v>
      </c>
      <c r="E548" s="53">
        <v>4366.8</v>
      </c>
      <c r="F548" s="2">
        <v>10</v>
      </c>
      <c r="G548" s="13">
        <f>E548*F548</f>
        <v>43668</v>
      </c>
      <c r="I548" s="13"/>
      <c r="K548" s="72"/>
      <c r="M548" s="69"/>
    </row>
    <row r="549" spans="1:14">
      <c r="A549" s="70"/>
      <c r="B549" s="2" t="s">
        <v>132</v>
      </c>
      <c r="C549" t="s">
        <v>240</v>
      </c>
      <c r="D549" s="38">
        <v>45833</v>
      </c>
      <c r="E549" s="53">
        <v>4355.6000000000004</v>
      </c>
      <c r="F549" s="2">
        <v>4</v>
      </c>
      <c r="G549" s="13">
        <f>E549*F549</f>
        <v>17422.400000000001</v>
      </c>
      <c r="I549" s="13"/>
      <c r="K549" s="72"/>
      <c r="M549" s="69"/>
    </row>
    <row r="550" spans="1:14">
      <c r="A550" s="70"/>
      <c r="B550" s="2" t="s">
        <v>132</v>
      </c>
      <c r="C550" t="s">
        <v>240</v>
      </c>
      <c r="D550" s="38">
        <v>45847</v>
      </c>
      <c r="E550" s="53">
        <v>4310</v>
      </c>
      <c r="F550" s="2">
        <v>19</v>
      </c>
      <c r="G550" s="13">
        <f>E550*F550</f>
        <v>81890</v>
      </c>
      <c r="I550" s="13"/>
      <c r="K550" s="72"/>
      <c r="M550" s="69"/>
    </row>
    <row r="551" spans="1:14" ht="15" customHeight="1">
      <c r="A551" s="70"/>
      <c r="B551" s="2" t="s">
        <v>132</v>
      </c>
      <c r="C551" t="s">
        <v>240</v>
      </c>
      <c r="D551" s="38">
        <v>45847</v>
      </c>
      <c r="E551" s="53">
        <v>4350</v>
      </c>
      <c r="F551" s="2">
        <v>10</v>
      </c>
      <c r="G551" s="13">
        <f>E551*F551</f>
        <v>43500</v>
      </c>
      <c r="I551" s="13"/>
      <c r="K551" s="72"/>
      <c r="M551" s="69"/>
    </row>
    <row r="552" spans="1:14" ht="15" customHeight="1">
      <c r="A552" s="70"/>
      <c r="B552" s="2" t="s">
        <v>132</v>
      </c>
      <c r="C552" s="75" t="s">
        <v>240</v>
      </c>
      <c r="D552" s="38">
        <v>45860</v>
      </c>
      <c r="F552" s="2">
        <v>60</v>
      </c>
      <c r="G552" s="13"/>
      <c r="H552" s="15">
        <v>4341</v>
      </c>
      <c r="I552" s="13">
        <f>H552*F552</f>
        <v>260460</v>
      </c>
      <c r="K552" s="72">
        <f>SUM(I552)-SUM(G547:G551)</f>
        <v>-3013.4000000000233</v>
      </c>
      <c r="M552" s="69"/>
    </row>
    <row r="553" spans="1:14" ht="15" customHeight="1">
      <c r="A553" s="70"/>
      <c r="D553" s="38"/>
      <c r="G553" s="13"/>
      <c r="I553" s="13"/>
      <c r="K553" s="72"/>
      <c r="M553" s="69"/>
    </row>
    <row r="554" spans="1:14" ht="15" customHeight="1">
      <c r="A554" s="70"/>
      <c r="B554" s="2" t="s">
        <v>135</v>
      </c>
      <c r="C554" t="s">
        <v>241</v>
      </c>
      <c r="D554" s="38">
        <v>45804</v>
      </c>
      <c r="E554" s="53">
        <v>3495</v>
      </c>
      <c r="F554" s="2">
        <v>6</v>
      </c>
      <c r="G554" s="13">
        <f>E554*F554</f>
        <v>20970</v>
      </c>
      <c r="I554" s="13"/>
      <c r="K554" s="72"/>
      <c r="M554" s="69"/>
    </row>
    <row r="555" spans="1:14" ht="15" customHeight="1">
      <c r="A555" s="70"/>
      <c r="B555" s="2" t="s">
        <v>135</v>
      </c>
      <c r="C555" t="s">
        <v>241</v>
      </c>
      <c r="D555" s="38">
        <v>45818</v>
      </c>
      <c r="E555" s="53">
        <v>3395.6</v>
      </c>
      <c r="F555" s="2">
        <v>4</v>
      </c>
      <c r="G555" s="13">
        <f>E555*F555</f>
        <v>13582.4</v>
      </c>
      <c r="I555" s="13"/>
      <c r="K555" s="72"/>
      <c r="M555" s="69"/>
    </row>
    <row r="556" spans="1:14">
      <c r="A556" s="70"/>
      <c r="B556" s="2" t="s">
        <v>135</v>
      </c>
      <c r="C556" s="75" t="s">
        <v>241</v>
      </c>
      <c r="D556" s="38">
        <v>45860</v>
      </c>
      <c r="F556" s="2">
        <v>10</v>
      </c>
      <c r="H556" s="53">
        <v>3168.9</v>
      </c>
      <c r="I556" s="13">
        <f>H556*F556</f>
        <v>31689</v>
      </c>
      <c r="K556" s="72">
        <f>SUM(I556)-SUM(G554:G555)</f>
        <v>-2863.4000000000015</v>
      </c>
      <c r="M556" s="69"/>
    </row>
    <row r="557" spans="1:14">
      <c r="A557" s="70"/>
      <c r="D557" s="38"/>
      <c r="H557" s="53"/>
      <c r="I557" s="13"/>
      <c r="K557" s="72"/>
      <c r="M557" s="69"/>
    </row>
    <row r="558" spans="1:14">
      <c r="A558" s="70"/>
      <c r="B558" s="2" t="s">
        <v>135</v>
      </c>
      <c r="C558" t="s">
        <v>240</v>
      </c>
      <c r="D558" s="38">
        <v>45818</v>
      </c>
      <c r="E558" s="53">
        <v>4268</v>
      </c>
      <c r="F558" s="2">
        <v>10</v>
      </c>
      <c r="G558" s="13">
        <f>E558*F558</f>
        <v>42680</v>
      </c>
      <c r="I558" s="13"/>
      <c r="K558" s="72"/>
      <c r="M558" s="69"/>
    </row>
    <row r="559" spans="1:14">
      <c r="A559" s="70"/>
      <c r="B559" s="2" t="s">
        <v>135</v>
      </c>
      <c r="C559" s="75" t="s">
        <v>240</v>
      </c>
      <c r="D559" s="38">
        <v>45873</v>
      </c>
      <c r="F559" s="2">
        <v>10</v>
      </c>
      <c r="G559" s="53"/>
      <c r="H559" s="13">
        <v>4240</v>
      </c>
      <c r="I559" s="13">
        <f>H559*F559</f>
        <v>42400</v>
      </c>
      <c r="K559" s="72">
        <f>SUM(I559)-SUM(G557:G558)</f>
        <v>-280</v>
      </c>
      <c r="M559" s="69"/>
    </row>
    <row r="560" spans="1:14">
      <c r="A560" s="70"/>
      <c r="D560" s="38"/>
      <c r="G560" s="53"/>
      <c r="H560" s="13"/>
      <c r="I560" s="13"/>
      <c r="K560" s="72"/>
      <c r="M560" s="69"/>
    </row>
    <row r="561" spans="1:13">
      <c r="A561" s="70"/>
      <c r="B561" s="2" t="s">
        <v>135</v>
      </c>
      <c r="C561" t="s">
        <v>242</v>
      </c>
      <c r="D561" s="38">
        <v>45912</v>
      </c>
      <c r="E561" s="53">
        <v>1529</v>
      </c>
      <c r="F561" s="2">
        <v>10</v>
      </c>
      <c r="G561" s="13">
        <f t="shared" ref="G561:G562" si="60">E561*F561</f>
        <v>15290</v>
      </c>
      <c r="H561" s="13"/>
      <c r="I561" s="13"/>
      <c r="K561" s="72"/>
      <c r="M561" s="69"/>
    </row>
    <row r="562" spans="1:13" ht="15" customHeight="1">
      <c r="A562" s="70"/>
      <c r="B562" s="2" t="s">
        <v>135</v>
      </c>
      <c r="C562" t="s">
        <v>242</v>
      </c>
      <c r="D562" s="38">
        <v>45916</v>
      </c>
      <c r="E562" s="53">
        <v>1510.6</v>
      </c>
      <c r="F562" s="2">
        <v>2</v>
      </c>
      <c r="G562" s="13">
        <f t="shared" si="60"/>
        <v>3021.2</v>
      </c>
      <c r="H562" s="13"/>
      <c r="I562" s="13"/>
      <c r="K562" s="72"/>
      <c r="M562" s="69"/>
    </row>
    <row r="563" spans="1:13">
      <c r="A563" s="70"/>
      <c r="B563" s="2" t="s">
        <v>135</v>
      </c>
      <c r="C563" s="75" t="s">
        <v>242</v>
      </c>
      <c r="D563" s="38">
        <v>45922</v>
      </c>
      <c r="F563" s="2">
        <v>12</v>
      </c>
      <c r="G563" s="53"/>
      <c r="H563" s="13">
        <v>1501.55</v>
      </c>
      <c r="I563" s="13">
        <f>H563*F563</f>
        <v>18018.599999999999</v>
      </c>
      <c r="K563" s="72">
        <f>SUM(I563)-SUM(G561:G562)</f>
        <v>-292.60000000000218</v>
      </c>
      <c r="M563" s="69"/>
    </row>
    <row r="564" spans="1:13">
      <c r="A564" s="70"/>
      <c r="D564" s="38"/>
      <c r="G564" s="13"/>
      <c r="I564" s="13"/>
      <c r="K564" s="72"/>
      <c r="M564" s="69"/>
    </row>
    <row r="565" spans="1:13">
      <c r="A565" s="70" t="s">
        <v>155</v>
      </c>
      <c r="B565" s="2" t="s">
        <v>135</v>
      </c>
      <c r="C565" t="s">
        <v>243</v>
      </c>
      <c r="D565" s="38">
        <v>45699</v>
      </c>
      <c r="E565" s="53">
        <v>30</v>
      </c>
      <c r="F565" s="2">
        <v>1000</v>
      </c>
      <c r="G565" s="13">
        <f>E565*F565</f>
        <v>30000</v>
      </c>
      <c r="I565" s="13"/>
      <c r="K565" s="72"/>
      <c r="M565" s="69"/>
    </row>
    <row r="566" spans="1:13">
      <c r="A566" s="70"/>
      <c r="B566" s="2" t="s">
        <v>135</v>
      </c>
      <c r="C566" t="s">
        <v>243</v>
      </c>
      <c r="D566" s="38">
        <v>45793</v>
      </c>
      <c r="E566" s="53">
        <v>28</v>
      </c>
      <c r="F566" s="2">
        <v>500</v>
      </c>
      <c r="G566" s="13">
        <f>E566*F566</f>
        <v>14000</v>
      </c>
      <c r="I566" s="13"/>
      <c r="K566" s="72"/>
      <c r="M566" s="69"/>
    </row>
    <row r="567" spans="1:13">
      <c r="A567" s="70"/>
      <c r="B567" s="2" t="s">
        <v>135</v>
      </c>
      <c r="C567" t="s">
        <v>243</v>
      </c>
      <c r="D567" s="38">
        <v>45798</v>
      </c>
      <c r="E567" s="53">
        <v>27.6</v>
      </c>
      <c r="F567" s="2">
        <v>3</v>
      </c>
      <c r="G567" s="13">
        <f>E567*F567</f>
        <v>82.800000000000011</v>
      </c>
      <c r="I567" s="13"/>
      <c r="K567" s="72"/>
      <c r="M567" s="73"/>
    </row>
    <row r="568" spans="1:13">
      <c r="A568" s="70"/>
      <c r="B568" s="2" t="s">
        <v>135</v>
      </c>
      <c r="C568" t="s">
        <v>243</v>
      </c>
      <c r="D568" s="38">
        <v>45812</v>
      </c>
      <c r="E568" s="53">
        <v>28.19</v>
      </c>
      <c r="F568" s="2">
        <v>46</v>
      </c>
      <c r="G568" s="13">
        <f>E568*F568</f>
        <v>1296.74</v>
      </c>
      <c r="I568" s="13"/>
      <c r="K568" s="72"/>
      <c r="M568" s="73"/>
    </row>
    <row r="569" spans="1:13">
      <c r="A569" s="70"/>
      <c r="B569" s="2" t="s">
        <v>135</v>
      </c>
      <c r="C569" s="77" t="s">
        <v>243</v>
      </c>
      <c r="D569" s="38">
        <v>45855</v>
      </c>
      <c r="F569" s="2">
        <v>1549</v>
      </c>
      <c r="G569" s="13"/>
      <c r="H569" s="15">
        <v>29.84</v>
      </c>
      <c r="I569" s="13">
        <f>H569*F569</f>
        <v>46222.159999999996</v>
      </c>
      <c r="K569" s="72">
        <f>SUM(I569)-SUM(G565:G568)</f>
        <v>842.61999999999534</v>
      </c>
      <c r="M569" s="73">
        <f>(SUM(K569)/SUM(G565:G568))</f>
        <v>1.8568279890012005E-2</v>
      </c>
    </row>
    <row r="570" spans="1:13">
      <c r="A570" s="70"/>
      <c r="D570" s="38"/>
      <c r="G570" s="13"/>
      <c r="I570" s="13"/>
      <c r="K570" s="50"/>
      <c r="L570" s="45"/>
      <c r="M570" s="82"/>
    </row>
    <row r="571" spans="1:13">
      <c r="A571" s="68" t="s">
        <v>244</v>
      </c>
      <c r="B571" s="27"/>
      <c r="C571" s="26"/>
      <c r="D571" s="39"/>
      <c r="E571" s="54"/>
      <c r="F571" s="27"/>
      <c r="G571" s="28"/>
      <c r="H571" s="51"/>
      <c r="I571" s="28"/>
      <c r="J571" s="27"/>
      <c r="K571" s="72"/>
      <c r="M571" s="69"/>
    </row>
    <row r="572" spans="1:13">
      <c r="A572" s="70" t="s">
        <v>131</v>
      </c>
      <c r="B572" s="2" t="s">
        <v>132</v>
      </c>
      <c r="C572" t="s">
        <v>245</v>
      </c>
      <c r="D572" s="38">
        <v>45323</v>
      </c>
      <c r="E572" s="53">
        <v>232.25</v>
      </c>
      <c r="F572" s="2">
        <v>77</v>
      </c>
      <c r="G572" s="13">
        <f>E572*F572</f>
        <v>17883.25</v>
      </c>
      <c r="I572" s="13"/>
      <c r="K572" s="72"/>
      <c r="M572" s="69"/>
    </row>
    <row r="573" spans="1:13">
      <c r="A573" s="70"/>
      <c r="B573" s="2" t="s">
        <v>134</v>
      </c>
      <c r="C573" t="s">
        <v>245</v>
      </c>
      <c r="D573" s="38">
        <v>45335</v>
      </c>
      <c r="E573" s="53">
        <v>220</v>
      </c>
      <c r="F573" s="2">
        <v>310</v>
      </c>
      <c r="G573" s="13">
        <f>E573*F573</f>
        <v>68200</v>
      </c>
      <c r="M573" s="69"/>
    </row>
    <row r="574" spans="1:13">
      <c r="A574" s="70"/>
      <c r="B574" s="2" t="s">
        <v>132</v>
      </c>
      <c r="C574" s="77" t="s">
        <v>245</v>
      </c>
      <c r="D574" s="38">
        <v>45440</v>
      </c>
      <c r="E574" s="53">
        <v>276.81</v>
      </c>
      <c r="F574" s="2">
        <v>310</v>
      </c>
      <c r="G574" s="30"/>
      <c r="I574" s="13">
        <f>E574*F574</f>
        <v>85811.1</v>
      </c>
      <c r="K574" s="72">
        <f>SUM(I574)-SUM(G573)</f>
        <v>17611.100000000006</v>
      </c>
      <c r="M574" s="69"/>
    </row>
    <row r="575" spans="1:13">
      <c r="A575" s="70"/>
      <c r="B575" s="2" t="s">
        <v>134</v>
      </c>
      <c r="C575" s="77" t="s">
        <v>245</v>
      </c>
      <c r="D575" s="38">
        <v>45440</v>
      </c>
      <c r="E575" s="53">
        <v>278.8</v>
      </c>
      <c r="F575" s="2">
        <v>77</v>
      </c>
      <c r="G575" s="13"/>
      <c r="I575" s="13">
        <f>E575*F575</f>
        <v>21467.600000000002</v>
      </c>
      <c r="K575" s="72">
        <f>SUM(I575)-SUM(G572)</f>
        <v>3584.3500000000022</v>
      </c>
      <c r="L575"/>
      <c r="M575" s="69"/>
    </row>
    <row r="576" spans="1:13">
      <c r="A576" s="70"/>
      <c r="D576" s="38"/>
      <c r="G576" s="13"/>
      <c r="I576" s="13"/>
      <c r="K576" s="72"/>
      <c r="L576"/>
      <c r="M576" s="69"/>
    </row>
    <row r="577" spans="1:13">
      <c r="A577" s="70"/>
      <c r="B577" s="2" t="s">
        <v>135</v>
      </c>
      <c r="C577" t="s">
        <v>245</v>
      </c>
      <c r="D577" s="38">
        <v>45553</v>
      </c>
      <c r="E577" s="53">
        <v>232</v>
      </c>
      <c r="F577" s="2">
        <v>100</v>
      </c>
      <c r="G577" s="30">
        <f t="shared" ref="G577:G586" si="61">E577*F577</f>
        <v>23200</v>
      </c>
      <c r="I577" s="13"/>
      <c r="K577" s="72"/>
      <c r="M577" s="69"/>
    </row>
    <row r="578" spans="1:13">
      <c r="A578" s="70"/>
      <c r="B578" s="2" t="s">
        <v>135</v>
      </c>
      <c r="C578" t="s">
        <v>245</v>
      </c>
      <c r="D578" s="38">
        <v>45793</v>
      </c>
      <c r="E578" s="53">
        <v>190</v>
      </c>
      <c r="F578" s="2">
        <v>100</v>
      </c>
      <c r="G578" s="30">
        <f t="shared" si="61"/>
        <v>19000</v>
      </c>
      <c r="I578" s="13"/>
      <c r="K578" s="72"/>
      <c r="M578" s="69"/>
    </row>
    <row r="579" spans="1:13">
      <c r="A579" s="70"/>
      <c r="B579" s="2" t="s">
        <v>135</v>
      </c>
      <c r="C579" t="s">
        <v>245</v>
      </c>
      <c r="D579" s="38">
        <v>45796</v>
      </c>
      <c r="E579" s="53">
        <v>196.67</v>
      </c>
      <c r="F579" s="2">
        <v>3</v>
      </c>
      <c r="G579" s="30">
        <f t="shared" si="61"/>
        <v>590.01</v>
      </c>
      <c r="I579" s="13"/>
      <c r="K579" s="72"/>
      <c r="M579" s="69"/>
    </row>
    <row r="580" spans="1:13">
      <c r="A580" s="70"/>
      <c r="B580" s="2" t="s">
        <v>135</v>
      </c>
      <c r="C580" t="s">
        <v>245</v>
      </c>
      <c r="D580" s="38">
        <v>45810</v>
      </c>
      <c r="E580" s="53">
        <v>194.19</v>
      </c>
      <c r="F580" s="2">
        <v>1</v>
      </c>
      <c r="G580" s="30">
        <f t="shared" si="61"/>
        <v>194.19</v>
      </c>
      <c r="I580" s="13"/>
      <c r="K580" s="72"/>
      <c r="M580" s="73"/>
    </row>
    <row r="581" spans="1:13">
      <c r="A581" s="70"/>
      <c r="B581" s="2" t="s">
        <v>135</v>
      </c>
      <c r="C581" t="s">
        <v>245</v>
      </c>
      <c r="D581" s="38">
        <v>45812</v>
      </c>
      <c r="E581" s="53">
        <v>217</v>
      </c>
      <c r="F581" s="2">
        <v>5</v>
      </c>
      <c r="G581" s="30">
        <f t="shared" si="61"/>
        <v>1085</v>
      </c>
      <c r="I581" s="13"/>
      <c r="K581" s="72"/>
      <c r="M581" s="69"/>
    </row>
    <row r="582" spans="1:13">
      <c r="A582" s="70"/>
      <c r="B582" s="2" t="s">
        <v>135</v>
      </c>
      <c r="C582" t="s">
        <v>245</v>
      </c>
      <c r="D582" s="38">
        <v>45849</v>
      </c>
      <c r="E582" s="53">
        <v>191</v>
      </c>
      <c r="F582" s="2">
        <v>100</v>
      </c>
      <c r="G582" s="30">
        <f t="shared" si="61"/>
        <v>19100</v>
      </c>
      <c r="I582" s="13"/>
      <c r="K582" s="72"/>
      <c r="M582" s="73"/>
    </row>
    <row r="583" spans="1:13">
      <c r="A583" s="70"/>
      <c r="B583" s="2" t="s">
        <v>135</v>
      </c>
      <c r="C583" t="s">
        <v>245</v>
      </c>
      <c r="D583" s="38">
        <v>45853</v>
      </c>
      <c r="E583" s="53">
        <v>191.6</v>
      </c>
      <c r="F583" s="2">
        <v>41</v>
      </c>
      <c r="G583" s="30">
        <f t="shared" si="61"/>
        <v>7855.5999999999995</v>
      </c>
      <c r="I583" s="13"/>
      <c r="K583" s="72"/>
      <c r="M583" s="69"/>
    </row>
    <row r="584" spans="1:13">
      <c r="A584" s="70"/>
      <c r="B584" s="2" t="s">
        <v>135</v>
      </c>
      <c r="C584" t="s">
        <v>245</v>
      </c>
      <c r="D584" s="38">
        <v>45866</v>
      </c>
      <c r="E584" s="53">
        <v>178.5</v>
      </c>
      <c r="F584" s="2">
        <v>50</v>
      </c>
      <c r="G584" s="30">
        <f t="shared" si="61"/>
        <v>8925</v>
      </c>
      <c r="I584" s="13"/>
      <c r="K584" s="72"/>
      <c r="M584" s="69"/>
    </row>
    <row r="585" spans="1:13">
      <c r="A585" s="70"/>
      <c r="B585" s="2" t="s">
        <v>135</v>
      </c>
      <c r="C585" t="s">
        <v>245</v>
      </c>
      <c r="D585" s="38">
        <v>45866</v>
      </c>
      <c r="E585" s="53">
        <v>178.42</v>
      </c>
      <c r="F585" s="2">
        <v>145</v>
      </c>
      <c r="G585" s="30">
        <f t="shared" si="61"/>
        <v>25870.899999999998</v>
      </c>
      <c r="I585" s="13"/>
      <c r="K585" s="72"/>
      <c r="M585" s="69"/>
    </row>
    <row r="586" spans="1:13">
      <c r="A586" s="70"/>
      <c r="B586" s="2" t="s">
        <v>135</v>
      </c>
      <c r="C586" t="s">
        <v>245</v>
      </c>
      <c r="D586" s="38">
        <v>45915</v>
      </c>
      <c r="E586" s="53">
        <v>182</v>
      </c>
      <c r="F586" s="2">
        <v>200</v>
      </c>
      <c r="G586" s="30">
        <f t="shared" si="61"/>
        <v>36400</v>
      </c>
      <c r="I586" s="13"/>
      <c r="K586" s="72"/>
      <c r="M586" s="69"/>
    </row>
    <row r="587" spans="1:13">
      <c r="A587" s="70"/>
      <c r="D587" s="38"/>
      <c r="G587" s="13"/>
      <c r="I587" s="13"/>
      <c r="K587" s="72"/>
      <c r="M587" s="69"/>
    </row>
    <row r="588" spans="1:13">
      <c r="A588" s="70"/>
      <c r="B588" s="2" t="s">
        <v>134</v>
      </c>
      <c r="C588" t="s">
        <v>246</v>
      </c>
      <c r="D588" s="38">
        <v>45454</v>
      </c>
      <c r="E588" s="53">
        <v>65.150000000000006</v>
      </c>
      <c r="F588" s="2">
        <v>461</v>
      </c>
      <c r="G588" s="13">
        <f>E588*F588</f>
        <v>30034.15</v>
      </c>
      <c r="I588" s="13"/>
      <c r="K588" s="72"/>
      <c r="M588" s="69"/>
    </row>
    <row r="589" spans="1:13">
      <c r="A589" s="70"/>
      <c r="C589" s="77" t="s">
        <v>246</v>
      </c>
      <c r="D589" s="38">
        <v>45526</v>
      </c>
      <c r="F589" s="2">
        <v>461</v>
      </c>
      <c r="G589" s="13"/>
      <c r="H589" s="53">
        <v>65.28</v>
      </c>
      <c r="I589" s="13">
        <f>H589*F589</f>
        <v>30094.080000000002</v>
      </c>
      <c r="K589" s="72">
        <f>SUM(I589)-SUM(G588)</f>
        <v>59.930000000000291</v>
      </c>
      <c r="M589" s="69"/>
    </row>
    <row r="590" spans="1:13">
      <c r="A590" s="70"/>
      <c r="D590" s="38"/>
      <c r="G590" s="13"/>
      <c r="I590" s="13"/>
      <c r="K590" s="50"/>
      <c r="L590" s="45"/>
      <c r="M590" s="83"/>
    </row>
    <row r="591" spans="1:13">
      <c r="A591" s="68" t="s">
        <v>247</v>
      </c>
      <c r="B591" s="27"/>
      <c r="C591" s="26"/>
      <c r="D591" s="39"/>
      <c r="E591" s="54"/>
      <c r="F591" s="27"/>
      <c r="G591" s="28"/>
      <c r="H591" s="51"/>
      <c r="I591" s="28"/>
      <c r="J591" s="27"/>
      <c r="K591" s="72"/>
      <c r="M591" s="69"/>
    </row>
    <row r="592" spans="1:13">
      <c r="A592" s="70" t="s">
        <v>153</v>
      </c>
      <c r="B592" s="2" t="s">
        <v>134</v>
      </c>
      <c r="C592" t="s">
        <v>248</v>
      </c>
      <c r="D592" s="38">
        <v>45449</v>
      </c>
      <c r="E592" s="53">
        <v>105</v>
      </c>
      <c r="F592" s="2">
        <v>200</v>
      </c>
      <c r="G592" s="13">
        <f>E592*F592</f>
        <v>21000</v>
      </c>
      <c r="I592" s="13"/>
      <c r="K592" s="72"/>
      <c r="M592" s="69"/>
    </row>
    <row r="593" spans="1:13">
      <c r="A593" s="70"/>
      <c r="C593" s="77" t="s">
        <v>248</v>
      </c>
      <c r="D593" s="38"/>
      <c r="F593" s="2">
        <v>200</v>
      </c>
      <c r="G593" s="13"/>
      <c r="H593" s="53">
        <v>110.8</v>
      </c>
      <c r="I593" s="13">
        <f>H593*F593</f>
        <v>22160</v>
      </c>
      <c r="K593" s="72">
        <f>SUM(I593)-SUM(G592)</f>
        <v>1160</v>
      </c>
      <c r="M593" s="73">
        <f>(SUM(K593)/SUM(G592))</f>
        <v>5.5238095238095239E-2</v>
      </c>
    </row>
    <row r="594" spans="1:13">
      <c r="A594" s="70"/>
      <c r="C594" s="77"/>
      <c r="D594" s="38"/>
      <c r="G594" s="13"/>
      <c r="H594" s="53"/>
      <c r="I594" s="13"/>
      <c r="K594" s="72"/>
      <c r="M594" s="73"/>
    </row>
    <row r="595" spans="1:13">
      <c r="A595" s="70" t="s">
        <v>131</v>
      </c>
      <c r="B595" s="2" t="s">
        <v>132</v>
      </c>
      <c r="C595" t="s">
        <v>249</v>
      </c>
      <c r="D595" s="38">
        <v>45206</v>
      </c>
      <c r="E595" s="53">
        <v>136.19999999999999</v>
      </c>
      <c r="F595" s="2">
        <v>100</v>
      </c>
      <c r="G595" s="13">
        <f t="shared" ref="G595" si="62">E595*F595</f>
        <v>13619.999999999998</v>
      </c>
      <c r="M595" s="69"/>
    </row>
    <row r="596" spans="1:13">
      <c r="A596" s="70"/>
      <c r="B596" s="2" t="s">
        <v>132</v>
      </c>
      <c r="C596" t="s">
        <v>249</v>
      </c>
      <c r="D596" s="38">
        <v>45334</v>
      </c>
      <c r="E596" s="53">
        <v>179.59</v>
      </c>
      <c r="F596" s="2">
        <v>50</v>
      </c>
      <c r="G596" s="13">
        <f t="shared" ref="G596" si="63">E596*F596</f>
        <v>8979.5</v>
      </c>
      <c r="M596" s="69"/>
    </row>
    <row r="597" spans="1:13">
      <c r="A597" s="70"/>
      <c r="B597" s="2" t="s">
        <v>132</v>
      </c>
      <c r="C597" s="77" t="s">
        <v>249</v>
      </c>
      <c r="D597" s="38">
        <v>45309</v>
      </c>
      <c r="F597" s="2">
        <v>50</v>
      </c>
      <c r="H597" s="15">
        <v>187.85</v>
      </c>
      <c r="I597" s="2">
        <f>H597*F597</f>
        <v>9392.5</v>
      </c>
      <c r="K597" s="72">
        <f>I597-G596</f>
        <v>413</v>
      </c>
      <c r="M597" s="69"/>
    </row>
    <row r="598" spans="1:13">
      <c r="A598" s="70"/>
      <c r="B598" s="2" t="s">
        <v>132</v>
      </c>
      <c r="C598" s="77" t="s">
        <v>249</v>
      </c>
      <c r="D598" s="38">
        <v>45334</v>
      </c>
      <c r="F598" s="2">
        <v>100</v>
      </c>
      <c r="G598" s="13"/>
      <c r="H598" s="53">
        <v>179.5</v>
      </c>
      <c r="I598" s="2">
        <f>H598*F598</f>
        <v>17950</v>
      </c>
      <c r="K598" s="72">
        <f>SUM(I598,I597)-SUM(G595)</f>
        <v>13722.500000000002</v>
      </c>
      <c r="M598" s="73"/>
    </row>
    <row r="599" spans="1:13">
      <c r="A599" s="70"/>
      <c r="B599" s="2" t="s">
        <v>132</v>
      </c>
      <c r="C599" t="s">
        <v>249</v>
      </c>
      <c r="D599" s="38">
        <v>45881</v>
      </c>
      <c r="E599" s="53">
        <v>380.55</v>
      </c>
      <c r="F599" s="2">
        <v>100</v>
      </c>
      <c r="G599" s="13">
        <f>E599*F599</f>
        <v>38055</v>
      </c>
      <c r="I599" s="13"/>
      <c r="K599" s="72"/>
      <c r="M599" s="69"/>
    </row>
    <row r="600" spans="1:13">
      <c r="A600" s="70"/>
      <c r="C600" s="77"/>
      <c r="D600" s="38"/>
      <c r="G600" s="13"/>
      <c r="H600" s="53"/>
      <c r="K600" s="72"/>
      <c r="M600" s="73"/>
    </row>
    <row r="601" spans="1:13">
      <c r="A601" s="70"/>
      <c r="B601" s="2" t="s">
        <v>134</v>
      </c>
      <c r="C601" t="s">
        <v>249</v>
      </c>
      <c r="D601" s="38">
        <v>45306</v>
      </c>
      <c r="E601" s="53">
        <v>186.7</v>
      </c>
      <c r="F601" s="2">
        <v>200</v>
      </c>
      <c r="G601" s="13">
        <f>E601*F601</f>
        <v>37340</v>
      </c>
      <c r="M601" s="73"/>
    </row>
    <row r="602" spans="1:13">
      <c r="A602" s="70"/>
      <c r="B602" s="2" t="s">
        <v>134</v>
      </c>
      <c r="C602" s="75" t="s">
        <v>249</v>
      </c>
      <c r="D602" s="38">
        <v>45334</v>
      </c>
      <c r="E602" s="53">
        <v>178.3</v>
      </c>
      <c r="F602" s="2">
        <v>200</v>
      </c>
      <c r="G602" s="13"/>
      <c r="I602" s="2">
        <f>E602*F602</f>
        <v>35660</v>
      </c>
      <c r="K602" s="72">
        <f>I602-G601</f>
        <v>-1680</v>
      </c>
      <c r="M602" s="69"/>
    </row>
    <row r="603" spans="1:13">
      <c r="A603" s="70"/>
      <c r="B603" s="2" t="s">
        <v>134</v>
      </c>
      <c r="C603" t="s">
        <v>249</v>
      </c>
      <c r="D603" s="38">
        <v>45449</v>
      </c>
      <c r="E603" s="53">
        <v>239</v>
      </c>
      <c r="F603" s="2">
        <v>130</v>
      </c>
      <c r="G603" s="13">
        <f t="shared" ref="G603:G604" si="64">E603*F603</f>
        <v>31070</v>
      </c>
      <c r="K603" s="72"/>
      <c r="M603" s="69"/>
    </row>
    <row r="604" spans="1:13">
      <c r="A604" s="70"/>
      <c r="B604" s="2" t="s">
        <v>134</v>
      </c>
      <c r="C604" t="s">
        <v>249</v>
      </c>
      <c r="D604" s="38">
        <v>45449</v>
      </c>
      <c r="E604" s="53">
        <v>239</v>
      </c>
      <c r="F604" s="2">
        <v>33</v>
      </c>
      <c r="G604" s="13">
        <f t="shared" si="64"/>
        <v>7887</v>
      </c>
      <c r="K604" s="72"/>
      <c r="M604" s="69"/>
    </row>
    <row r="605" spans="1:13">
      <c r="A605" s="70"/>
      <c r="B605" s="2" t="s">
        <v>134</v>
      </c>
      <c r="C605" s="77" t="s">
        <v>249</v>
      </c>
      <c r="D605" s="38">
        <v>45477</v>
      </c>
      <c r="E605" s="53">
        <v>310.60000000000002</v>
      </c>
      <c r="F605" s="2">
        <v>33</v>
      </c>
      <c r="G605" s="30"/>
      <c r="I605" s="2">
        <f>E605*F605</f>
        <v>10249.800000000001</v>
      </c>
      <c r="K605" s="72">
        <f>I605-G604</f>
        <v>2362.8000000000011</v>
      </c>
      <c r="M605" s="69"/>
    </row>
    <row r="606" spans="1:13">
      <c r="A606" s="70"/>
      <c r="B606" s="2" t="s">
        <v>134</v>
      </c>
      <c r="C606" s="77" t="s">
        <v>249</v>
      </c>
      <c r="D606" s="38">
        <v>45478</v>
      </c>
      <c r="E606" s="53">
        <v>326</v>
      </c>
      <c r="F606" s="2">
        <v>130</v>
      </c>
      <c r="G606" s="30"/>
      <c r="I606" s="2">
        <f>E606*F606</f>
        <v>42380</v>
      </c>
      <c r="K606" s="72">
        <f>I606-G603</f>
        <v>11310</v>
      </c>
      <c r="M606" s="73">
        <f>(SUM(K595:K606)/SUM(G595:G606))</f>
        <v>0.19078505894422479</v>
      </c>
    </row>
    <row r="607" spans="1:13">
      <c r="A607" s="70"/>
      <c r="C607" s="77"/>
      <c r="D607" s="38"/>
      <c r="G607" s="30"/>
      <c r="K607" s="72"/>
      <c r="M607" s="73"/>
    </row>
    <row r="608" spans="1:13">
      <c r="A608" s="70"/>
      <c r="B608" s="2" t="s">
        <v>135</v>
      </c>
      <c r="C608" t="s">
        <v>249</v>
      </c>
      <c r="D608" s="38">
        <v>45797</v>
      </c>
      <c r="E608" s="53">
        <v>364</v>
      </c>
      <c r="F608" s="2">
        <v>100</v>
      </c>
      <c r="G608" s="13">
        <f>E608*F608</f>
        <v>36400</v>
      </c>
      <c r="I608" s="13"/>
      <c r="K608" s="72"/>
      <c r="M608" s="69"/>
    </row>
    <row r="609" spans="1:13">
      <c r="A609" s="70"/>
      <c r="B609" s="2" t="s">
        <v>135</v>
      </c>
      <c r="C609" s="77" t="s">
        <v>249</v>
      </c>
      <c r="D609" s="38">
        <v>45803</v>
      </c>
      <c r="F609" s="2">
        <v>100</v>
      </c>
      <c r="G609" s="13"/>
      <c r="H609" s="53">
        <v>380.95</v>
      </c>
      <c r="I609" s="13">
        <f>H609*F609</f>
        <v>38095</v>
      </c>
      <c r="K609" s="72"/>
      <c r="M609" s="69"/>
    </row>
    <row r="610" spans="1:13">
      <c r="A610" s="70"/>
      <c r="B610" s="2" t="s">
        <v>135</v>
      </c>
      <c r="C610" t="s">
        <v>249</v>
      </c>
      <c r="D610" s="38">
        <v>45849</v>
      </c>
      <c r="E610" s="53">
        <v>409.9</v>
      </c>
      <c r="F610" s="2">
        <v>50</v>
      </c>
      <c r="G610" s="13">
        <f t="shared" ref="G610" si="65">E610*F610</f>
        <v>20495</v>
      </c>
      <c r="K610" s="72"/>
      <c r="M610" s="73">
        <f>(SUM(K655)/SUM(G655))</f>
        <v>3.5569001990500754E-2</v>
      </c>
    </row>
    <row r="611" spans="1:13">
      <c r="A611" s="70"/>
      <c r="B611" s="2" t="s">
        <v>135</v>
      </c>
      <c r="C611" t="s">
        <v>249</v>
      </c>
      <c r="D611" s="38">
        <v>45866</v>
      </c>
      <c r="E611" s="53">
        <v>391</v>
      </c>
      <c r="F611" s="2">
        <v>50</v>
      </c>
      <c r="G611" s="13">
        <f>E611*F611</f>
        <v>19550</v>
      </c>
      <c r="H611" s="53"/>
      <c r="I611" s="13"/>
      <c r="K611" s="72"/>
      <c r="M611" s="69"/>
    </row>
    <row r="612" spans="1:13">
      <c r="A612" s="70"/>
      <c r="B612" s="2" t="s">
        <v>135</v>
      </c>
      <c r="C612" t="s">
        <v>249</v>
      </c>
      <c r="D612" s="38">
        <v>45873</v>
      </c>
      <c r="E612" s="53">
        <v>386</v>
      </c>
      <c r="F612" s="2">
        <v>200</v>
      </c>
      <c r="G612" s="30">
        <f>E612*F612</f>
        <v>77200</v>
      </c>
      <c r="H612" s="53"/>
      <c r="I612" s="13"/>
      <c r="K612" s="72"/>
      <c r="M612" s="69"/>
    </row>
    <row r="613" spans="1:13">
      <c r="A613" s="70"/>
      <c r="B613" s="2" t="s">
        <v>135</v>
      </c>
      <c r="C613" t="s">
        <v>249</v>
      </c>
      <c r="D613" s="38">
        <v>45877</v>
      </c>
      <c r="E613" s="53">
        <v>385</v>
      </c>
      <c r="F613" s="2">
        <v>71</v>
      </c>
      <c r="G613" s="13">
        <f>E613*F613</f>
        <v>27335</v>
      </c>
      <c r="H613" s="53"/>
      <c r="I613" s="13"/>
      <c r="K613" s="72"/>
      <c r="M613" s="69"/>
    </row>
    <row r="614" spans="1:13">
      <c r="A614" s="70"/>
      <c r="B614" s="2" t="s">
        <v>135</v>
      </c>
      <c r="C614" t="s">
        <v>249</v>
      </c>
      <c r="D614" s="38">
        <v>45881</v>
      </c>
      <c r="E614" s="53">
        <v>380.55</v>
      </c>
      <c r="F614" s="2">
        <v>46</v>
      </c>
      <c r="G614" s="13">
        <f>E614*F614</f>
        <v>17505.3</v>
      </c>
      <c r="H614" s="53"/>
      <c r="I614" s="13"/>
      <c r="K614" s="72"/>
      <c r="M614" s="69"/>
    </row>
    <row r="615" spans="1:13">
      <c r="A615" s="70"/>
      <c r="B615" s="2" t="s">
        <v>135</v>
      </c>
      <c r="C615" s="77" t="s">
        <v>249</v>
      </c>
      <c r="D615" s="38">
        <v>45915</v>
      </c>
      <c r="F615" s="2">
        <v>217</v>
      </c>
      <c r="G615" s="13"/>
      <c r="H615" s="53">
        <v>396.65</v>
      </c>
      <c r="I615" s="13">
        <f>H615*F615</f>
        <v>86073.049999999988</v>
      </c>
      <c r="K615" s="72">
        <f>I615-SUM(G610:G611,G613:G614)</f>
        <v>1187.7499999999854</v>
      </c>
      <c r="M615" s="73">
        <f>(SUM(K615)/SUM(G610:G611,G613:G614))</f>
        <v>1.3992410935697764E-2</v>
      </c>
    </row>
    <row r="616" spans="1:13">
      <c r="A616" s="70"/>
      <c r="D616" s="38"/>
      <c r="G616" s="13"/>
      <c r="H616" s="53"/>
      <c r="I616" s="13"/>
      <c r="K616" s="72"/>
      <c r="M616" s="73"/>
    </row>
    <row r="617" spans="1:13">
      <c r="A617" s="70"/>
      <c r="B617" s="2" t="s">
        <v>135</v>
      </c>
      <c r="C617" t="s">
        <v>250</v>
      </c>
      <c r="D617" s="38">
        <v>45796</v>
      </c>
      <c r="E617" s="53">
        <v>1260</v>
      </c>
      <c r="F617" s="2">
        <v>30</v>
      </c>
      <c r="G617" s="30">
        <f>E617*F617</f>
        <v>37800</v>
      </c>
      <c r="H617" s="53"/>
      <c r="I617" s="13"/>
      <c r="K617" s="72"/>
      <c r="M617" s="73"/>
    </row>
    <row r="618" spans="1:13">
      <c r="A618" s="70"/>
      <c r="B618" s="2" t="s">
        <v>135</v>
      </c>
      <c r="C618" t="s">
        <v>250</v>
      </c>
      <c r="D618" s="38">
        <v>45798</v>
      </c>
      <c r="E618" s="53">
        <v>1230.7</v>
      </c>
      <c r="F618" s="2">
        <v>20</v>
      </c>
      <c r="G618" s="30">
        <f>E618*F618</f>
        <v>24614</v>
      </c>
      <c r="I618" s="13"/>
      <c r="K618" s="72"/>
      <c r="M618" s="73"/>
    </row>
    <row r="619" spans="1:13">
      <c r="A619" s="70"/>
      <c r="B619" s="2" t="s">
        <v>135</v>
      </c>
      <c r="C619" t="s">
        <v>250</v>
      </c>
      <c r="D619" s="38">
        <v>45875</v>
      </c>
      <c r="E619" s="53">
        <v>1148.4000000000001</v>
      </c>
      <c r="F619" s="2">
        <v>20</v>
      </c>
      <c r="G619" s="30">
        <f>E619*F619</f>
        <v>22968</v>
      </c>
      <c r="H619" s="53"/>
      <c r="I619" s="13"/>
      <c r="K619" s="72"/>
      <c r="M619" s="69"/>
    </row>
    <row r="620" spans="1:13">
      <c r="A620" s="70"/>
      <c r="D620" s="38"/>
      <c r="G620" s="13"/>
      <c r="H620" s="53"/>
      <c r="I620" s="13"/>
      <c r="K620" s="72"/>
      <c r="M620" s="69"/>
    </row>
    <row r="621" spans="1:13">
      <c r="A621" s="70"/>
      <c r="B621" s="2" t="s">
        <v>135</v>
      </c>
      <c r="C621" t="s">
        <v>251</v>
      </c>
      <c r="D621" s="38">
        <v>45849</v>
      </c>
      <c r="E621" s="53">
        <v>815</v>
      </c>
      <c r="F621" s="2">
        <v>10</v>
      </c>
      <c r="G621" s="13">
        <f>E621*F621</f>
        <v>8150</v>
      </c>
      <c r="H621" s="53"/>
      <c r="I621" s="13"/>
      <c r="K621" s="72"/>
      <c r="M621" s="69"/>
    </row>
    <row r="622" spans="1:13">
      <c r="A622" s="70"/>
      <c r="B622" s="2" t="s">
        <v>135</v>
      </c>
      <c r="C622" t="s">
        <v>251</v>
      </c>
      <c r="D622" s="38">
        <v>45853</v>
      </c>
      <c r="E622" s="53">
        <v>806</v>
      </c>
      <c r="F622" s="2">
        <v>50</v>
      </c>
      <c r="G622" s="13">
        <f>E622*F622</f>
        <v>40300</v>
      </c>
      <c r="H622" s="53"/>
      <c r="I622" s="13"/>
      <c r="K622" s="72"/>
      <c r="L622" s="13"/>
      <c r="M622" s="69"/>
    </row>
    <row r="623" spans="1:13">
      <c r="A623" s="70"/>
      <c r="B623" s="2" t="s">
        <v>135</v>
      </c>
      <c r="C623" t="s">
        <v>251</v>
      </c>
      <c r="D623" s="38">
        <v>45866</v>
      </c>
      <c r="E623" s="53">
        <v>708.1</v>
      </c>
      <c r="F623" s="2">
        <v>40</v>
      </c>
      <c r="G623" s="13">
        <f t="shared" ref="G623:G627" si="66">E623*F623</f>
        <v>28324</v>
      </c>
      <c r="H623" s="53"/>
      <c r="I623" s="13"/>
      <c r="K623" s="72"/>
      <c r="M623" s="69"/>
    </row>
    <row r="624" spans="1:13">
      <c r="A624" s="70"/>
      <c r="B624" s="2" t="s">
        <v>135</v>
      </c>
      <c r="C624" t="s">
        <v>251</v>
      </c>
      <c r="D624" s="38">
        <v>45867</v>
      </c>
      <c r="E624" s="53">
        <v>663.95</v>
      </c>
      <c r="F624" s="2">
        <v>50</v>
      </c>
      <c r="G624" s="13">
        <f t="shared" si="66"/>
        <v>33197.5</v>
      </c>
      <c r="H624" s="53"/>
      <c r="I624" s="13"/>
      <c r="K624" s="72"/>
      <c r="M624" s="69"/>
    </row>
    <row r="625" spans="1:13">
      <c r="A625" s="70"/>
      <c r="B625" s="2" t="s">
        <v>135</v>
      </c>
      <c r="C625" t="s">
        <v>251</v>
      </c>
      <c r="D625" s="38">
        <v>45873</v>
      </c>
      <c r="E625" s="53">
        <v>628.15</v>
      </c>
      <c r="F625" s="2">
        <v>140</v>
      </c>
      <c r="G625" s="13">
        <f t="shared" ref="G625" si="67">E625*F625</f>
        <v>87941</v>
      </c>
      <c r="H625" s="53"/>
      <c r="I625" s="13"/>
      <c r="K625" s="72"/>
      <c r="M625" s="69"/>
    </row>
    <row r="626" spans="1:13">
      <c r="A626" s="70"/>
      <c r="B626" s="2" t="s">
        <v>135</v>
      </c>
      <c r="C626" t="s">
        <v>251</v>
      </c>
      <c r="D626" s="38">
        <v>45873</v>
      </c>
      <c r="E626" s="53">
        <v>628.15</v>
      </c>
      <c r="F626" s="2">
        <v>15</v>
      </c>
      <c r="G626" s="30">
        <f t="shared" si="66"/>
        <v>9422.25</v>
      </c>
      <c r="H626" s="53"/>
      <c r="I626" s="13"/>
      <c r="K626" s="72"/>
      <c r="M626" s="69"/>
    </row>
    <row r="627" spans="1:13">
      <c r="A627" s="70"/>
      <c r="B627" s="2" t="s">
        <v>135</v>
      </c>
      <c r="C627" t="s">
        <v>251</v>
      </c>
      <c r="D627" s="38">
        <v>45877</v>
      </c>
      <c r="E627" s="53">
        <v>630.6</v>
      </c>
      <c r="F627" s="2">
        <v>35</v>
      </c>
      <c r="G627" s="30">
        <f t="shared" si="66"/>
        <v>22071</v>
      </c>
      <c r="H627" s="53"/>
      <c r="I627" s="13"/>
      <c r="K627" s="72"/>
      <c r="M627" s="69"/>
    </row>
    <row r="628" spans="1:13">
      <c r="A628" s="70"/>
      <c r="B628" s="2" t="s">
        <v>135</v>
      </c>
      <c r="C628" t="s">
        <v>251</v>
      </c>
      <c r="D628" s="38">
        <v>45912</v>
      </c>
      <c r="F628" s="2">
        <v>40</v>
      </c>
      <c r="G628" s="30"/>
      <c r="H628" s="53">
        <v>692</v>
      </c>
      <c r="I628" s="13">
        <f>H628*F628</f>
        <v>27680</v>
      </c>
      <c r="K628" s="72">
        <f>SUM(I628)-SUM(G623)</f>
        <v>-644</v>
      </c>
      <c r="M628" s="69"/>
    </row>
    <row r="629" spans="1:13">
      <c r="A629" s="70"/>
      <c r="B629" s="2" t="s">
        <v>135</v>
      </c>
      <c r="C629" s="77" t="s">
        <v>251</v>
      </c>
      <c r="D629" s="38">
        <v>45923</v>
      </c>
      <c r="F629" s="2">
        <v>250</v>
      </c>
      <c r="G629" s="30"/>
      <c r="H629" s="53">
        <v>717.7</v>
      </c>
      <c r="I629" s="13">
        <f>H629*F629</f>
        <v>179425</v>
      </c>
      <c r="K629" s="72">
        <f>SUM(I629)-SUM(G621:G622,G624:G625)</f>
        <v>9836.5</v>
      </c>
      <c r="M629" s="69"/>
    </row>
    <row r="630" spans="1:13">
      <c r="A630" s="76"/>
      <c r="B630" s="45"/>
      <c r="C630" s="44"/>
      <c r="D630" s="46"/>
      <c r="E630" s="55"/>
      <c r="F630" s="45"/>
      <c r="G630" s="47"/>
      <c r="H630" s="52"/>
      <c r="I630" s="47"/>
      <c r="J630" s="45"/>
      <c r="K630" s="50"/>
      <c r="L630" s="45"/>
      <c r="M630" s="82"/>
    </row>
    <row r="631" spans="1:13">
      <c r="A631" s="70" t="s">
        <v>252</v>
      </c>
      <c r="D631" s="38"/>
      <c r="G631" s="13"/>
      <c r="I631" s="13"/>
      <c r="K631" s="72"/>
      <c r="M631" s="69"/>
    </row>
    <row r="632" spans="1:13">
      <c r="A632" s="70" t="s">
        <v>131</v>
      </c>
      <c r="B632" s="2" t="s">
        <v>135</v>
      </c>
      <c r="C632" t="s">
        <v>253</v>
      </c>
      <c r="D632" s="38">
        <v>45798</v>
      </c>
      <c r="E632" s="53">
        <v>345.75</v>
      </c>
      <c r="F632" s="2">
        <v>2</v>
      </c>
      <c r="G632" s="13">
        <f>E632*F632</f>
        <v>691.5</v>
      </c>
      <c r="I632" s="13"/>
      <c r="K632" s="72"/>
      <c r="M632" s="69"/>
    </row>
    <row r="633" spans="1:13">
      <c r="A633" s="70"/>
      <c r="B633" s="2" t="s">
        <v>135</v>
      </c>
      <c r="C633" s="77" t="s">
        <v>253</v>
      </c>
      <c r="D633" s="38">
        <v>45838</v>
      </c>
      <c r="F633" s="2">
        <v>2</v>
      </c>
      <c r="G633" s="13"/>
      <c r="H633" s="15">
        <v>384.2</v>
      </c>
      <c r="I633" s="13">
        <f>H633*F633</f>
        <v>768.4</v>
      </c>
      <c r="K633" s="72">
        <f>SUM(I633)-SUM(G632)</f>
        <v>76.899999999999977</v>
      </c>
      <c r="M633" s="69"/>
    </row>
    <row r="634" spans="1:13">
      <c r="A634" s="70"/>
      <c r="D634" s="38"/>
      <c r="G634" s="13"/>
      <c r="I634" s="13"/>
      <c r="K634" s="72"/>
      <c r="M634" s="69"/>
    </row>
    <row r="635" spans="1:13">
      <c r="A635" s="78" t="s">
        <v>254</v>
      </c>
      <c r="B635" s="27"/>
      <c r="C635" s="26"/>
      <c r="D635" s="39"/>
      <c r="E635" s="54"/>
      <c r="F635" s="27"/>
      <c r="G635" s="28"/>
      <c r="H635" s="51"/>
      <c r="I635" s="28"/>
      <c r="J635" s="27"/>
      <c r="K635" s="31"/>
      <c r="L635" s="27"/>
      <c r="M635" s="84"/>
    </row>
    <row r="636" spans="1:13">
      <c r="A636" s="70"/>
      <c r="B636" s="2" t="s">
        <v>135</v>
      </c>
      <c r="C636" t="s">
        <v>255</v>
      </c>
      <c r="D636" s="38">
        <v>45916</v>
      </c>
      <c r="E636" s="53">
        <v>3630</v>
      </c>
      <c r="F636" s="2">
        <v>21</v>
      </c>
      <c r="G636" s="30">
        <f>E636*F636</f>
        <v>76230</v>
      </c>
      <c r="I636" s="13"/>
      <c r="K636" s="72"/>
      <c r="M636" s="69"/>
    </row>
    <row r="637" spans="1:13">
      <c r="A637" s="70"/>
      <c r="D637" s="38"/>
      <c r="G637" s="13"/>
      <c r="I637" s="13"/>
      <c r="K637" s="72"/>
      <c r="M637" s="69"/>
    </row>
    <row r="638" spans="1:13">
      <c r="A638" s="70"/>
      <c r="D638" s="38"/>
      <c r="G638" s="13"/>
      <c r="I638" s="13"/>
      <c r="K638" s="72"/>
      <c r="M638" s="69"/>
    </row>
    <row r="639" spans="1:13">
      <c r="A639" s="68" t="s">
        <v>256</v>
      </c>
      <c r="B639" s="27"/>
      <c r="C639" s="26"/>
      <c r="D639" s="39"/>
      <c r="E639" s="54"/>
      <c r="F639" s="27"/>
      <c r="G639" s="28"/>
      <c r="H639" s="51"/>
      <c r="I639" s="28"/>
      <c r="J639" s="27"/>
      <c r="K639" s="31"/>
      <c r="L639" s="27"/>
      <c r="M639" s="84"/>
    </row>
    <row r="640" spans="1:13">
      <c r="A640" s="70"/>
      <c r="B640" s="2" t="s">
        <v>134</v>
      </c>
      <c r="C640" t="s">
        <v>257</v>
      </c>
      <c r="D640" s="38">
        <v>45529</v>
      </c>
      <c r="E640" s="53">
        <v>2.62</v>
      </c>
      <c r="F640" s="2">
        <v>196</v>
      </c>
      <c r="G640" s="13">
        <f>E640*F640</f>
        <v>513.52</v>
      </c>
      <c r="I640" s="13"/>
      <c r="K640" s="72"/>
      <c r="M640" s="69"/>
    </row>
    <row r="641" spans="1:13">
      <c r="A641" s="76"/>
      <c r="B641" s="45"/>
      <c r="C641" s="98" t="s">
        <v>257</v>
      </c>
      <c r="D641" s="46">
        <v>45551</v>
      </c>
      <c r="E641" s="55">
        <v>2.4900000000000002</v>
      </c>
      <c r="F641" s="45">
        <v>196</v>
      </c>
      <c r="G641" s="47"/>
      <c r="H641" s="52"/>
      <c r="I641" s="47">
        <f>E641*F641</f>
        <v>488.04</v>
      </c>
      <c r="J641" s="45"/>
      <c r="K641" s="50">
        <f>SUM(I641)-SUM(G640)</f>
        <v>-25.479999999999961</v>
      </c>
      <c r="L641" s="45"/>
      <c r="M641" s="82"/>
    </row>
    <row r="642" spans="1:13">
      <c r="A642" s="80" t="s">
        <v>258</v>
      </c>
      <c r="D642" s="38"/>
      <c r="G642" s="13"/>
      <c r="I642" s="13"/>
      <c r="K642" s="72"/>
      <c r="M642" s="69"/>
    </row>
    <row r="643" spans="1:13">
      <c r="A643" s="70" t="s">
        <v>153</v>
      </c>
      <c r="B643" s="2" t="s">
        <v>134</v>
      </c>
      <c r="C643" t="s">
        <v>259</v>
      </c>
      <c r="D643" s="38">
        <v>45539</v>
      </c>
      <c r="E643" s="53">
        <v>1.33</v>
      </c>
      <c r="F643" s="2">
        <v>215</v>
      </c>
      <c r="G643" s="13">
        <f>E643*F643</f>
        <v>285.95</v>
      </c>
      <c r="I643" s="13"/>
      <c r="K643" s="72"/>
      <c r="M643" s="69"/>
    </row>
    <row r="644" spans="1:13">
      <c r="A644" s="76"/>
      <c r="B644" s="45"/>
      <c r="C644" s="99" t="s">
        <v>259</v>
      </c>
      <c r="D644" s="46">
        <v>45553</v>
      </c>
      <c r="E644" s="55">
        <v>1.18</v>
      </c>
      <c r="F644" s="45">
        <v>215</v>
      </c>
      <c r="G644" s="49"/>
      <c r="H644" s="52"/>
      <c r="I644" s="47">
        <f>E644*F644</f>
        <v>253.7</v>
      </c>
      <c r="J644" s="45"/>
      <c r="K644" s="50">
        <f>SUM(I644)-SUM(G643)</f>
        <v>-32.25</v>
      </c>
      <c r="L644" s="45"/>
      <c r="M644" s="82"/>
    </row>
    <row r="645" spans="1:13">
      <c r="A645" s="80" t="s">
        <v>260</v>
      </c>
      <c r="D645" s="38"/>
      <c r="G645" s="13"/>
      <c r="I645" s="13"/>
      <c r="K645" s="72"/>
      <c r="M645" s="69"/>
    </row>
    <row r="646" spans="1:13">
      <c r="A646" s="70" t="s">
        <v>153</v>
      </c>
      <c r="B646" s="2" t="s">
        <v>134</v>
      </c>
      <c r="C646" t="s">
        <v>261</v>
      </c>
      <c r="D646" s="38">
        <v>45308</v>
      </c>
      <c r="E646" s="53">
        <v>1.47</v>
      </c>
      <c r="F646" s="2">
        <v>1000</v>
      </c>
      <c r="G646" s="13">
        <f>E646*F646</f>
        <v>1470</v>
      </c>
      <c r="I646" s="13"/>
      <c r="K646" s="72"/>
      <c r="M646" s="69"/>
    </row>
    <row r="647" spans="1:13">
      <c r="A647" s="70"/>
      <c r="C647" s="75" t="s">
        <v>261</v>
      </c>
      <c r="D647" s="38">
        <v>45442</v>
      </c>
      <c r="E647" s="53">
        <v>1.4</v>
      </c>
      <c r="F647" s="2">
        <v>1000</v>
      </c>
      <c r="I647" s="13">
        <f>E647*F647</f>
        <v>1400</v>
      </c>
      <c r="K647" s="72">
        <f>SUM(I647)-SUM(G646)</f>
        <v>-70</v>
      </c>
      <c r="M647" s="69"/>
    </row>
    <row r="648" spans="1:13">
      <c r="A648" s="70" t="s">
        <v>138</v>
      </c>
      <c r="B648" s="2" t="s">
        <v>134</v>
      </c>
      <c r="C648" t="s">
        <v>262</v>
      </c>
      <c r="D648" s="38">
        <v>45309</v>
      </c>
      <c r="E648" s="53">
        <v>254.47</v>
      </c>
      <c r="F648" s="2">
        <v>36</v>
      </c>
      <c r="G648" s="13">
        <f>E648*F648</f>
        <v>9160.92</v>
      </c>
      <c r="I648" s="13"/>
      <c r="K648" s="72"/>
      <c r="M648" s="69"/>
    </row>
    <row r="649" spans="1:13">
      <c r="A649" s="70"/>
      <c r="C649" s="75" t="s">
        <v>262</v>
      </c>
      <c r="D649" s="38">
        <v>45411</v>
      </c>
      <c r="E649" s="53">
        <v>150.1</v>
      </c>
      <c r="F649" s="2">
        <v>36</v>
      </c>
      <c r="G649" s="30"/>
      <c r="I649" s="13">
        <f>E649*F649</f>
        <v>5403.5999999999995</v>
      </c>
      <c r="K649" s="72">
        <f>SUM(I649)-SUM(G648)</f>
        <v>-3757.3200000000006</v>
      </c>
      <c r="M649" s="69"/>
    </row>
    <row r="650" spans="1:13">
      <c r="A650" s="76"/>
      <c r="B650" s="45"/>
      <c r="C650" s="44"/>
      <c r="D650" s="46"/>
      <c r="E650" s="55"/>
      <c r="F650" s="45"/>
      <c r="G650" s="49"/>
      <c r="H650" s="52"/>
      <c r="I650" s="45"/>
      <c r="J650" s="45"/>
      <c r="K650" s="48"/>
      <c r="L650" s="45"/>
      <c r="M650" s="82"/>
    </row>
    <row r="651" spans="1:13">
      <c r="A651" s="80" t="s">
        <v>263</v>
      </c>
      <c r="D651" s="38"/>
      <c r="G651" s="30"/>
      <c r="M651" s="69"/>
    </row>
    <row r="652" spans="1:13">
      <c r="A652" s="70"/>
      <c r="B652" s="2" t="s">
        <v>135</v>
      </c>
      <c r="C652" t="s">
        <v>264</v>
      </c>
      <c r="D652" s="38">
        <v>45912</v>
      </c>
      <c r="E652" s="53">
        <v>417</v>
      </c>
      <c r="F652" s="2">
        <v>10</v>
      </c>
      <c r="G652" s="13">
        <f>E652*F652</f>
        <v>4170</v>
      </c>
      <c r="M652" s="69"/>
    </row>
    <row r="653" spans="1:13">
      <c r="A653" s="70"/>
      <c r="C653" s="77" t="s">
        <v>264</v>
      </c>
      <c r="D653" s="38">
        <v>45923</v>
      </c>
      <c r="F653" s="2">
        <v>10</v>
      </c>
      <c r="G653" s="30"/>
      <c r="H653" s="15">
        <v>425.1</v>
      </c>
      <c r="I653" s="13">
        <f>H653*F653</f>
        <v>4251</v>
      </c>
      <c r="K653" s="72">
        <f>SUM(I653)-SUM(G652)</f>
        <v>81</v>
      </c>
      <c r="M653" s="69"/>
    </row>
    <row r="654" spans="1:13" ht="15" thickBot="1">
      <c r="A654" s="70"/>
      <c r="D654" s="38"/>
      <c r="G654" s="30"/>
      <c r="M654" s="69"/>
    </row>
    <row r="655" spans="1:13" ht="15" thickBot="1">
      <c r="A655" s="88"/>
      <c r="B655" s="89"/>
      <c r="C655" s="90" t="s">
        <v>75</v>
      </c>
      <c r="D655" s="89"/>
      <c r="E655" s="91"/>
      <c r="F655" s="89"/>
      <c r="G655" s="92">
        <f>SUM(G4:G653)</f>
        <v>9150506.3900000025</v>
      </c>
      <c r="H655" s="93"/>
      <c r="I655" s="92">
        <f>SUM(I4:I653)</f>
        <v>7737472.5699999975</v>
      </c>
      <c r="J655" s="89"/>
      <c r="K655" s="94">
        <f>SUM(K3:K653)</f>
        <v>325474.37999999995</v>
      </c>
      <c r="L655" s="89"/>
      <c r="M655" s="95"/>
    </row>
  </sheetData>
  <mergeCells count="3">
    <mergeCell ref="O1:Q1"/>
    <mergeCell ref="U1:W1"/>
    <mergeCell ref="R1:T1"/>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E4CB0-C01C-4CDC-832F-5D4D147C49AA}">
  <dimension ref="A1:AW219"/>
  <sheetViews>
    <sheetView tabSelected="1" topLeftCell="A63" zoomScaleNormal="100" workbookViewId="0">
      <pane xSplit="4" topLeftCell="E1" activePane="topRight" state="frozen"/>
      <selection pane="topRight" activeCell="C71" sqref="C71"/>
    </sheetView>
  </sheetViews>
  <sheetFormatPr defaultColWidth="8.88671875" defaultRowHeight="14.4"/>
  <cols>
    <col min="1" max="1" width="57.44140625" style="2" customWidth="1"/>
    <col min="2" max="2" width="31.77734375" style="2" customWidth="1"/>
    <col min="3" max="3" width="18" style="2" customWidth="1"/>
    <col min="4" max="4" width="12.109375" style="2" customWidth="1"/>
    <col min="5" max="5" width="12.44140625" style="2" customWidth="1"/>
    <col min="6" max="6" width="6.109375" style="2" bestFit="1" customWidth="1"/>
    <col min="7" max="7" width="7.6640625" style="2" customWidth="1"/>
    <col min="8" max="8" width="7.88671875" style="2" customWidth="1"/>
    <col min="9" max="9" width="7.33203125" style="2" customWidth="1"/>
    <col min="10" max="10" width="6.88671875" style="2" customWidth="1"/>
    <col min="11" max="11" width="8.109375" style="2" customWidth="1"/>
    <col min="12" max="12" width="7.33203125" style="2" customWidth="1"/>
    <col min="13" max="13" width="10.5546875" style="2" customWidth="1"/>
    <col min="14" max="14" width="12.88671875" style="2" customWidth="1"/>
    <col min="15" max="16" width="7.6640625" style="2" customWidth="1"/>
    <col min="17" max="17" width="8.33203125" style="2" customWidth="1"/>
    <col min="18" max="18" width="11.33203125" style="2" customWidth="1"/>
    <col min="19" max="31" width="7.6640625" style="2" customWidth="1"/>
    <col min="32" max="32" width="12.6640625" style="2" customWidth="1"/>
    <col min="33" max="33" width="13.5546875" style="2" customWidth="1"/>
    <col min="34" max="34" width="16" style="2" customWidth="1"/>
    <col min="35" max="35" width="14.109375" style="2" customWidth="1"/>
    <col min="36" max="36" width="10" style="2" customWidth="1"/>
    <col min="37" max="37" width="13.6640625" style="2" customWidth="1"/>
    <col min="38" max="38" width="11.33203125" style="2" customWidth="1"/>
    <col min="39" max="39" width="8.88671875" style="2"/>
    <col min="40" max="40" width="11.109375" style="2" bestFit="1" customWidth="1"/>
    <col min="41" max="41" width="12.109375" style="2" bestFit="1" customWidth="1"/>
    <col min="42" max="42" width="13.44140625" style="2" customWidth="1"/>
    <col min="43" max="44" width="20.6640625" style="2" bestFit="1" customWidth="1"/>
    <col min="45" max="45" width="22.44140625" style="2" bestFit="1" customWidth="1"/>
    <col min="46" max="46" width="13.6640625" style="2" bestFit="1" customWidth="1"/>
    <col min="47" max="48" width="16.6640625" style="2" bestFit="1" customWidth="1"/>
    <col min="49" max="50" width="8.88671875" style="2"/>
    <col min="51" max="51" width="39.88671875" style="2" customWidth="1"/>
    <col min="52" max="52" width="21" style="2" bestFit="1" customWidth="1"/>
    <col min="53" max="16384" width="8.88671875" style="2"/>
  </cols>
  <sheetData>
    <row r="1" spans="1:44">
      <c r="A1" s="19" t="s">
        <v>976</v>
      </c>
      <c r="B1" s="19"/>
      <c r="C1" s="121"/>
      <c r="D1" s="121"/>
      <c r="E1" s="121"/>
      <c r="F1" s="121"/>
      <c r="G1" s="121"/>
      <c r="H1" s="121"/>
      <c r="I1" s="121"/>
      <c r="J1" s="121"/>
      <c r="K1" s="121"/>
      <c r="L1" s="121"/>
      <c r="M1" s="121"/>
      <c r="N1" s="121"/>
      <c r="AG1" s="121"/>
      <c r="AH1" s="121"/>
    </row>
    <row r="2" spans="1:44" ht="18">
      <c r="A2" s="141" t="s">
        <v>266</v>
      </c>
      <c r="B2" s="141"/>
      <c r="C2" s="141"/>
      <c r="D2" s="141"/>
      <c r="E2" s="141"/>
      <c r="F2" s="141"/>
      <c r="G2" s="141"/>
      <c r="H2" s="141"/>
      <c r="I2" s="141"/>
      <c r="J2" s="141"/>
      <c r="K2" s="141"/>
      <c r="L2" s="141"/>
      <c r="M2" s="141"/>
      <c r="N2" s="141"/>
      <c r="O2" s="141"/>
      <c r="P2" s="141"/>
      <c r="Q2" s="141"/>
      <c r="R2" s="141"/>
      <c r="S2" s="141"/>
      <c r="T2" s="141"/>
      <c r="U2" s="141"/>
      <c r="V2" s="141"/>
      <c r="W2" s="141"/>
      <c r="X2" s="141"/>
      <c r="Y2" s="141"/>
      <c r="Z2" s="141"/>
      <c r="AA2" s="141"/>
      <c r="AB2" s="141"/>
      <c r="AC2" s="141"/>
      <c r="AD2" s="141"/>
      <c r="AE2" s="141"/>
      <c r="AF2" s="141"/>
      <c r="AG2" s="141"/>
      <c r="AH2" s="141"/>
      <c r="AI2" s="141"/>
      <c r="AJ2" s="141"/>
      <c r="AK2" s="141"/>
      <c r="AL2" s="141"/>
      <c r="AM2" s="141"/>
      <c r="AN2" s="141"/>
      <c r="AO2" s="20"/>
      <c r="AP2" s="20"/>
      <c r="AQ2" s="20"/>
      <c r="AR2" s="20"/>
    </row>
    <row r="3" spans="1:44" ht="18">
      <c r="A3" s="150" t="s">
        <v>975</v>
      </c>
      <c r="B3" s="149"/>
      <c r="C3" s="148"/>
      <c r="D3" s="148"/>
      <c r="E3" s="148"/>
      <c r="F3" s="148"/>
      <c r="G3" s="148"/>
      <c r="H3" s="148"/>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20"/>
      <c r="AP3" s="20"/>
      <c r="AQ3" s="20"/>
      <c r="AR3" s="20"/>
    </row>
    <row r="4" spans="1:44" ht="18">
      <c r="A4" s="149" t="s">
        <v>977</v>
      </c>
      <c r="B4" s="150" t="s">
        <v>956</v>
      </c>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c r="AK4" s="148"/>
      <c r="AL4" s="148"/>
      <c r="AM4" s="148"/>
      <c r="AN4" s="148"/>
      <c r="AO4" s="20"/>
      <c r="AP4" s="20"/>
      <c r="AQ4" s="20"/>
      <c r="AR4" s="20"/>
    </row>
    <row r="5" spans="1:44" ht="18">
      <c r="A5" s="149"/>
      <c r="B5" s="150" t="s">
        <v>958</v>
      </c>
      <c r="C5" s="148"/>
      <c r="D5" s="148"/>
      <c r="E5" s="148"/>
      <c r="F5" s="148"/>
      <c r="G5" s="148"/>
      <c r="H5" s="148"/>
      <c r="I5" s="148"/>
      <c r="J5" s="148"/>
      <c r="K5" s="148"/>
      <c r="L5" s="148"/>
      <c r="M5" s="148"/>
      <c r="N5" s="148"/>
      <c r="O5" s="148"/>
      <c r="P5" s="148"/>
      <c r="Q5" s="148"/>
      <c r="R5" s="148"/>
      <c r="S5" s="148"/>
      <c r="T5" s="148"/>
      <c r="U5" s="148"/>
      <c r="V5" s="148"/>
      <c r="W5" s="148"/>
      <c r="X5" s="148"/>
      <c r="Y5" s="148"/>
      <c r="Z5" s="148"/>
      <c r="AA5" s="148"/>
      <c r="AB5" s="148"/>
      <c r="AC5" s="148"/>
      <c r="AD5" s="148"/>
      <c r="AE5" s="148"/>
      <c r="AF5" s="148"/>
      <c r="AG5" s="148"/>
      <c r="AH5" s="148"/>
      <c r="AI5" s="148"/>
      <c r="AJ5" s="148"/>
      <c r="AK5" s="148"/>
      <c r="AL5" s="148"/>
      <c r="AM5" s="148"/>
      <c r="AN5" s="148"/>
      <c r="AO5" s="20"/>
      <c r="AP5" s="20"/>
      <c r="AQ5" s="20"/>
      <c r="AR5" s="20"/>
    </row>
    <row r="6" spans="1:44" ht="18">
      <c r="A6" s="150"/>
      <c r="B6" s="149" t="s">
        <v>980</v>
      </c>
      <c r="C6" s="148"/>
      <c r="D6" s="148"/>
      <c r="E6" s="148"/>
      <c r="F6" s="148"/>
      <c r="G6" s="148"/>
      <c r="H6" s="148"/>
      <c r="I6" s="148"/>
      <c r="J6" s="148"/>
      <c r="K6" s="148"/>
      <c r="L6" s="148"/>
      <c r="M6" s="148"/>
      <c r="N6" s="148"/>
      <c r="O6" s="148"/>
      <c r="P6" s="148"/>
      <c r="Q6" s="148"/>
      <c r="R6" s="148"/>
      <c r="S6" s="148"/>
      <c r="T6" s="148"/>
      <c r="U6" s="148"/>
      <c r="V6" s="148"/>
      <c r="W6" s="148"/>
      <c r="X6" s="148"/>
      <c r="Y6" s="148"/>
      <c r="Z6" s="148"/>
      <c r="AA6" s="148"/>
      <c r="AB6" s="148"/>
      <c r="AC6" s="148"/>
      <c r="AD6" s="148"/>
      <c r="AE6" s="148"/>
      <c r="AF6" s="148"/>
      <c r="AG6" s="148"/>
      <c r="AH6" s="148"/>
      <c r="AI6" s="148"/>
      <c r="AJ6" s="148"/>
      <c r="AK6" s="148"/>
      <c r="AL6" s="148"/>
      <c r="AM6" s="148"/>
      <c r="AN6" s="148"/>
      <c r="AO6" s="20"/>
      <c r="AP6" s="20"/>
      <c r="AQ6" s="20"/>
      <c r="AR6" s="20"/>
    </row>
    <row r="7" spans="1:44" ht="18">
      <c r="A7" s="149" t="s">
        <v>979</v>
      </c>
      <c r="B7" s="149" t="s">
        <v>981</v>
      </c>
      <c r="C7" s="148"/>
      <c r="D7" s="148"/>
      <c r="E7" s="148"/>
      <c r="F7" s="148"/>
      <c r="G7" s="148"/>
      <c r="H7" s="148"/>
      <c r="I7" s="148"/>
      <c r="J7" s="148"/>
      <c r="K7" s="148"/>
      <c r="L7" s="148"/>
      <c r="M7" s="148"/>
      <c r="N7" s="148"/>
      <c r="O7" s="148"/>
      <c r="P7" s="148"/>
      <c r="Q7" s="148"/>
      <c r="R7" s="148"/>
      <c r="S7" s="148"/>
      <c r="T7" s="148"/>
      <c r="U7" s="148"/>
      <c r="V7" s="148"/>
      <c r="W7" s="148"/>
      <c r="X7" s="148"/>
      <c r="Y7" s="148"/>
      <c r="Z7" s="148"/>
      <c r="AA7" s="148"/>
      <c r="AB7" s="148"/>
      <c r="AC7" s="148"/>
      <c r="AD7" s="148"/>
      <c r="AE7" s="148"/>
      <c r="AF7" s="148"/>
      <c r="AG7" s="148"/>
      <c r="AH7" s="148"/>
      <c r="AI7" s="148"/>
      <c r="AJ7" s="148"/>
      <c r="AK7" s="148"/>
      <c r="AL7" s="148"/>
      <c r="AM7" s="148"/>
      <c r="AN7" s="148"/>
      <c r="AO7" s="20"/>
      <c r="AP7" s="20"/>
      <c r="AQ7" s="20"/>
      <c r="AR7" s="20"/>
    </row>
    <row r="8" spans="1:44" ht="18">
      <c r="A8" s="148"/>
      <c r="B8" s="149" t="s">
        <v>983</v>
      </c>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8"/>
      <c r="AN8" s="148"/>
      <c r="AO8" s="20"/>
      <c r="AP8" s="20"/>
      <c r="AQ8" s="20"/>
      <c r="AR8" s="20"/>
    </row>
    <row r="9" spans="1:44" ht="18">
      <c r="A9" s="148"/>
      <c r="B9" s="149" t="s">
        <v>978</v>
      </c>
      <c r="C9" s="148"/>
      <c r="D9" s="148"/>
      <c r="E9" s="148"/>
      <c r="F9" s="148"/>
      <c r="G9" s="148"/>
      <c r="H9" s="148"/>
      <c r="I9" s="148"/>
      <c r="J9" s="148"/>
      <c r="K9" s="148"/>
      <c r="L9" s="148"/>
      <c r="M9" s="148"/>
      <c r="N9" s="148"/>
      <c r="O9" s="148"/>
      <c r="P9" s="148"/>
      <c r="Q9" s="148"/>
      <c r="R9" s="148"/>
      <c r="S9" s="148"/>
      <c r="T9" s="148"/>
      <c r="U9" s="148"/>
      <c r="V9" s="148"/>
      <c r="W9" s="148"/>
      <c r="X9" s="148"/>
      <c r="Y9" s="148"/>
      <c r="Z9" s="148"/>
      <c r="AA9" s="148"/>
      <c r="AB9" s="148"/>
      <c r="AC9" s="148"/>
      <c r="AD9" s="148"/>
      <c r="AE9" s="148"/>
      <c r="AF9" s="148"/>
      <c r="AG9" s="148"/>
      <c r="AH9" s="148"/>
      <c r="AI9" s="148"/>
      <c r="AJ9" s="148"/>
      <c r="AK9" s="148"/>
      <c r="AL9" s="148"/>
      <c r="AM9" s="148"/>
      <c r="AN9" s="148"/>
      <c r="AO9" s="20"/>
      <c r="AP9" s="20"/>
      <c r="AQ9" s="20"/>
      <c r="AR9" s="20"/>
    </row>
    <row r="10" spans="1:44" ht="18">
      <c r="A10" s="149" t="s">
        <v>984</v>
      </c>
      <c r="B10" s="149" t="s">
        <v>982</v>
      </c>
      <c r="C10" s="148"/>
      <c r="D10" s="148"/>
      <c r="E10" s="148"/>
      <c r="F10" s="148"/>
      <c r="G10" s="148"/>
      <c r="H10" s="148"/>
      <c r="I10" s="148"/>
      <c r="J10" s="148"/>
      <c r="K10" s="148"/>
      <c r="L10" s="148"/>
      <c r="M10" s="148"/>
      <c r="N10" s="148"/>
      <c r="O10" s="148"/>
      <c r="P10" s="148"/>
      <c r="Q10" s="148"/>
      <c r="R10" s="148"/>
      <c r="S10" s="148"/>
      <c r="T10" s="148"/>
      <c r="U10" s="148"/>
      <c r="V10" s="148"/>
      <c r="W10" s="148"/>
      <c r="X10" s="148"/>
      <c r="Y10" s="148"/>
      <c r="Z10" s="148"/>
      <c r="AA10" s="148"/>
      <c r="AB10" s="148"/>
      <c r="AC10" s="148"/>
      <c r="AD10" s="148"/>
      <c r="AE10" s="148"/>
      <c r="AF10" s="148"/>
      <c r="AG10" s="148"/>
      <c r="AH10" s="148"/>
      <c r="AI10" s="148"/>
      <c r="AJ10" s="148"/>
      <c r="AK10" s="148"/>
      <c r="AL10" s="148"/>
      <c r="AM10" s="148"/>
      <c r="AN10" s="148"/>
      <c r="AO10" s="20"/>
      <c r="AP10" s="20"/>
      <c r="AQ10" s="20"/>
      <c r="AR10" s="20"/>
    </row>
    <row r="11" spans="1:44" ht="18">
      <c r="A11" s="148"/>
      <c r="B11" s="2" t="s">
        <v>985</v>
      </c>
      <c r="C11" s="148"/>
      <c r="D11" s="148"/>
      <c r="E11" s="148"/>
      <c r="F11" s="148"/>
      <c r="G11" s="148"/>
      <c r="H11" s="148"/>
      <c r="I11" s="148"/>
      <c r="J11" s="148"/>
      <c r="K11" s="148"/>
      <c r="L11" s="148"/>
      <c r="M11" s="148"/>
      <c r="N11" s="148"/>
      <c r="O11" s="148"/>
      <c r="P11" s="148"/>
      <c r="Q11" s="148"/>
      <c r="R11" s="148"/>
      <c r="S11" s="148"/>
      <c r="T11" s="148"/>
      <c r="U11" s="148"/>
      <c r="V11" s="148"/>
      <c r="W11" s="148"/>
      <c r="X11" s="148"/>
      <c r="Y11" s="148"/>
      <c r="Z11" s="148"/>
      <c r="AA11" s="148"/>
      <c r="AB11" s="148"/>
      <c r="AC11" s="148"/>
      <c r="AD11" s="148"/>
      <c r="AE11" s="148"/>
      <c r="AF11" s="148"/>
      <c r="AG11" s="148"/>
      <c r="AH11" s="148"/>
      <c r="AI11" s="148"/>
      <c r="AJ11" s="148"/>
      <c r="AK11" s="148"/>
      <c r="AL11" s="148"/>
      <c r="AM11" s="148"/>
      <c r="AN11" s="148"/>
      <c r="AO11" s="20"/>
      <c r="AP11" s="20"/>
      <c r="AQ11" s="20"/>
      <c r="AR11" s="20"/>
    </row>
    <row r="12" spans="1:44" ht="18">
      <c r="A12" s="148"/>
      <c r="B12" s="149" t="s">
        <v>986</v>
      </c>
      <c r="C12" s="148"/>
      <c r="D12" s="148"/>
      <c r="E12" s="148"/>
      <c r="F12" s="148"/>
      <c r="G12" s="148"/>
      <c r="H12" s="148"/>
      <c r="I12" s="148"/>
      <c r="J12" s="148"/>
      <c r="K12" s="148"/>
      <c r="L12" s="148"/>
      <c r="M12" s="148"/>
      <c r="N12" s="148"/>
      <c r="O12" s="148"/>
      <c r="P12" s="148"/>
      <c r="Q12" s="148"/>
      <c r="R12" s="148"/>
      <c r="S12" s="148"/>
      <c r="T12" s="148"/>
      <c r="U12" s="148"/>
      <c r="V12" s="148"/>
      <c r="W12" s="148"/>
      <c r="X12" s="148"/>
      <c r="Y12" s="148"/>
      <c r="Z12" s="148"/>
      <c r="AA12" s="148"/>
      <c r="AB12" s="148"/>
      <c r="AC12" s="148"/>
      <c r="AD12" s="148"/>
      <c r="AE12" s="148"/>
      <c r="AF12" s="148"/>
      <c r="AG12" s="148"/>
      <c r="AH12" s="148"/>
      <c r="AI12" s="148"/>
      <c r="AJ12" s="148"/>
      <c r="AK12" s="148"/>
      <c r="AL12" s="148"/>
      <c r="AM12" s="148"/>
      <c r="AN12" s="148"/>
      <c r="AO12" s="20"/>
      <c r="AP12" s="20"/>
      <c r="AQ12" s="20"/>
      <c r="AR12" s="20"/>
    </row>
    <row r="13" spans="1:44" ht="18">
      <c r="A13" s="148"/>
      <c r="B13" s="149"/>
      <c r="C13" s="148"/>
      <c r="D13" s="148"/>
      <c r="E13" s="148"/>
      <c r="F13" s="148"/>
      <c r="G13" s="148"/>
      <c r="H13" s="148"/>
      <c r="I13" s="148"/>
      <c r="J13" s="148"/>
      <c r="K13" s="148"/>
      <c r="L13" s="148"/>
      <c r="M13" s="148"/>
      <c r="N13" s="148"/>
      <c r="O13" s="148"/>
      <c r="P13" s="148"/>
      <c r="Q13" s="148"/>
      <c r="R13" s="148"/>
      <c r="S13" s="148"/>
      <c r="T13" s="148"/>
      <c r="U13" s="148"/>
      <c r="V13" s="148"/>
      <c r="W13" s="148"/>
      <c r="X13" s="148"/>
      <c r="Y13" s="148"/>
      <c r="Z13" s="148"/>
      <c r="AA13" s="148"/>
      <c r="AB13" s="148"/>
      <c r="AC13" s="148"/>
      <c r="AD13" s="148"/>
      <c r="AE13" s="148"/>
      <c r="AF13" s="148"/>
      <c r="AG13" s="148"/>
      <c r="AH13" s="148"/>
      <c r="AI13" s="148"/>
      <c r="AJ13" s="148"/>
      <c r="AK13" s="148"/>
      <c r="AL13" s="148"/>
      <c r="AM13" s="148"/>
      <c r="AN13" s="148"/>
      <c r="AO13" s="20"/>
      <c r="AP13" s="20"/>
      <c r="AQ13" s="20"/>
      <c r="AR13" s="20"/>
    </row>
    <row r="14" spans="1:44" ht="18">
      <c r="A14" s="150" t="s">
        <v>987</v>
      </c>
      <c r="B14" s="149"/>
      <c r="C14" s="148"/>
      <c r="D14" s="148"/>
      <c r="E14" s="148"/>
      <c r="F14" s="148"/>
      <c r="G14" s="148"/>
      <c r="H14" s="148"/>
      <c r="I14" s="148"/>
      <c r="J14" s="148"/>
      <c r="K14" s="148"/>
      <c r="L14" s="148"/>
      <c r="M14" s="148"/>
      <c r="N14" s="148"/>
      <c r="O14" s="148"/>
      <c r="P14" s="148"/>
      <c r="Q14" s="148"/>
      <c r="R14" s="148"/>
      <c r="S14" s="148"/>
      <c r="T14" s="148"/>
      <c r="U14" s="148"/>
      <c r="V14" s="148"/>
      <c r="W14" s="148"/>
      <c r="X14" s="148"/>
      <c r="Y14" s="148"/>
      <c r="Z14" s="148"/>
      <c r="AA14" s="148"/>
      <c r="AB14" s="148"/>
      <c r="AC14" s="148"/>
      <c r="AD14" s="148"/>
      <c r="AE14" s="148"/>
      <c r="AF14" s="148"/>
      <c r="AG14" s="148"/>
      <c r="AH14" s="148"/>
      <c r="AI14" s="148"/>
      <c r="AJ14" s="148"/>
      <c r="AK14" s="148"/>
      <c r="AL14" s="148"/>
      <c r="AM14" s="148"/>
      <c r="AN14" s="148"/>
      <c r="AO14" s="20"/>
      <c r="AP14" s="20"/>
      <c r="AQ14" s="20"/>
      <c r="AR14" s="20"/>
    </row>
    <row r="15" spans="1:44" ht="18">
      <c r="A15" s="149" t="s">
        <v>977</v>
      </c>
      <c r="B15" s="150" t="s">
        <v>910</v>
      </c>
      <c r="C15" s="148"/>
      <c r="D15" s="148"/>
      <c r="E15" s="148"/>
      <c r="F15" s="148"/>
      <c r="G15" s="148"/>
      <c r="H15" s="148"/>
      <c r="I15" s="148"/>
      <c r="J15" s="148"/>
      <c r="K15" s="148"/>
      <c r="L15" s="148"/>
      <c r="M15" s="148"/>
      <c r="N15" s="148"/>
      <c r="O15" s="148"/>
      <c r="P15" s="148"/>
      <c r="Q15" s="148"/>
      <c r="R15" s="148"/>
      <c r="S15" s="148"/>
      <c r="T15" s="148"/>
      <c r="U15" s="148"/>
      <c r="V15" s="148"/>
      <c r="W15" s="148"/>
      <c r="X15" s="148"/>
      <c r="Y15" s="148"/>
      <c r="Z15" s="148"/>
      <c r="AA15" s="148"/>
      <c r="AB15" s="148"/>
      <c r="AC15" s="148"/>
      <c r="AD15" s="148"/>
      <c r="AE15" s="148"/>
      <c r="AF15" s="148"/>
      <c r="AG15" s="148"/>
      <c r="AH15" s="148"/>
      <c r="AI15" s="148"/>
      <c r="AJ15" s="148"/>
      <c r="AK15" s="148"/>
      <c r="AL15" s="148"/>
      <c r="AM15" s="148"/>
      <c r="AN15" s="148"/>
      <c r="AO15" s="20"/>
      <c r="AP15" s="20"/>
      <c r="AQ15" s="20"/>
      <c r="AR15" s="20"/>
    </row>
    <row r="16" spans="1:44" ht="18">
      <c r="A16" s="148"/>
      <c r="B16" s="149" t="s">
        <v>988</v>
      </c>
      <c r="C16" s="148"/>
      <c r="D16" s="148"/>
      <c r="E16" s="148"/>
      <c r="F16" s="148"/>
      <c r="G16" s="148"/>
      <c r="H16" s="148"/>
      <c r="I16" s="148"/>
      <c r="J16" s="148"/>
      <c r="K16" s="148"/>
      <c r="L16" s="148"/>
      <c r="M16" s="148"/>
      <c r="N16" s="148"/>
      <c r="O16" s="148"/>
      <c r="P16" s="148"/>
      <c r="Q16" s="148"/>
      <c r="R16" s="148"/>
      <c r="S16" s="148"/>
      <c r="T16" s="148"/>
      <c r="U16" s="148"/>
      <c r="V16" s="148"/>
      <c r="W16" s="148"/>
      <c r="X16" s="148"/>
      <c r="Y16" s="148"/>
      <c r="Z16" s="148"/>
      <c r="AA16" s="148"/>
      <c r="AB16" s="148"/>
      <c r="AC16" s="148"/>
      <c r="AD16" s="148"/>
      <c r="AE16" s="148"/>
      <c r="AF16" s="148"/>
      <c r="AG16" s="148"/>
      <c r="AH16" s="148"/>
      <c r="AI16" s="148"/>
      <c r="AJ16" s="148"/>
      <c r="AK16" s="148"/>
      <c r="AL16" s="148"/>
      <c r="AM16" s="148"/>
      <c r="AN16" s="148"/>
      <c r="AO16" s="20"/>
      <c r="AP16" s="20"/>
      <c r="AQ16" s="20"/>
      <c r="AR16" s="20"/>
    </row>
    <row r="17" spans="1:44" ht="18">
      <c r="A17" s="148"/>
      <c r="B17" s="149" t="s">
        <v>913</v>
      </c>
      <c r="C17" s="148"/>
      <c r="D17" s="148"/>
      <c r="E17" s="148"/>
      <c r="F17" s="148"/>
      <c r="G17" s="148"/>
      <c r="H17" s="148"/>
      <c r="I17" s="148"/>
      <c r="J17" s="148"/>
      <c r="K17" s="148"/>
      <c r="L17" s="148"/>
      <c r="M17" s="148"/>
      <c r="N17" s="148"/>
      <c r="O17" s="148"/>
      <c r="P17" s="148"/>
      <c r="Q17" s="148"/>
      <c r="R17" s="148"/>
      <c r="S17" s="148"/>
      <c r="T17" s="148"/>
      <c r="U17" s="148"/>
      <c r="V17" s="148"/>
      <c r="W17" s="148"/>
      <c r="X17" s="148"/>
      <c r="Y17" s="148"/>
      <c r="Z17" s="148"/>
      <c r="AA17" s="148"/>
      <c r="AB17" s="148"/>
      <c r="AC17" s="148"/>
      <c r="AD17" s="148"/>
      <c r="AE17" s="148"/>
      <c r="AF17" s="148"/>
      <c r="AG17" s="148"/>
      <c r="AH17" s="148"/>
      <c r="AI17" s="148"/>
      <c r="AJ17" s="148"/>
      <c r="AK17" s="148"/>
      <c r="AL17" s="148"/>
      <c r="AM17" s="148"/>
      <c r="AN17" s="148"/>
      <c r="AO17" s="20"/>
      <c r="AP17" s="20"/>
      <c r="AQ17" s="20"/>
      <c r="AR17" s="20"/>
    </row>
    <row r="18" spans="1:44" ht="18">
      <c r="A18" s="149" t="s">
        <v>979</v>
      </c>
      <c r="B18" s="149" t="s">
        <v>917</v>
      </c>
      <c r="C18" s="148"/>
      <c r="D18" s="148"/>
      <c r="E18" s="148"/>
      <c r="F18" s="148"/>
      <c r="G18" s="148"/>
      <c r="H18" s="148"/>
      <c r="I18" s="148"/>
      <c r="J18" s="148"/>
      <c r="K18" s="148"/>
      <c r="L18" s="148"/>
      <c r="M18" s="148"/>
      <c r="N18" s="148"/>
      <c r="O18" s="148"/>
      <c r="P18" s="148"/>
      <c r="Q18" s="148"/>
      <c r="R18" s="148"/>
      <c r="S18" s="148"/>
      <c r="T18" s="148"/>
      <c r="U18" s="148"/>
      <c r="V18" s="148"/>
      <c r="W18" s="148"/>
      <c r="X18" s="148"/>
      <c r="Y18" s="148"/>
      <c r="Z18" s="148"/>
      <c r="AA18" s="148"/>
      <c r="AB18" s="148"/>
      <c r="AC18" s="148"/>
      <c r="AD18" s="148"/>
      <c r="AE18" s="148"/>
      <c r="AF18" s="148"/>
      <c r="AG18" s="148"/>
      <c r="AH18" s="148"/>
      <c r="AI18" s="148"/>
      <c r="AJ18" s="148"/>
      <c r="AK18" s="148"/>
      <c r="AL18" s="148"/>
      <c r="AM18" s="148"/>
      <c r="AN18" s="148"/>
      <c r="AO18" s="20"/>
      <c r="AP18" s="20"/>
      <c r="AQ18" s="20"/>
      <c r="AR18" s="20"/>
    </row>
    <row r="19" spans="1:44" ht="18">
      <c r="A19" s="148"/>
      <c r="B19" s="149" t="s">
        <v>989</v>
      </c>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8"/>
      <c r="AF19" s="148"/>
      <c r="AG19" s="148"/>
      <c r="AH19" s="148"/>
      <c r="AI19" s="148"/>
      <c r="AJ19" s="148"/>
      <c r="AK19" s="148"/>
      <c r="AL19" s="148"/>
      <c r="AM19" s="148"/>
      <c r="AN19" s="148"/>
      <c r="AO19" s="20"/>
      <c r="AP19" s="20"/>
      <c r="AQ19" s="20"/>
      <c r="AR19" s="20"/>
    </row>
    <row r="20" spans="1:44" ht="18">
      <c r="A20" s="148"/>
      <c r="B20" s="149" t="s">
        <v>990</v>
      </c>
      <c r="C20" s="148"/>
      <c r="D20" s="148"/>
      <c r="E20" s="148"/>
      <c r="F20" s="148"/>
      <c r="G20" s="148"/>
      <c r="H20" s="148"/>
      <c r="I20" s="148"/>
      <c r="J20" s="148"/>
      <c r="K20" s="148"/>
      <c r="L20" s="148"/>
      <c r="M20" s="148"/>
      <c r="N20" s="148"/>
      <c r="O20" s="148"/>
      <c r="P20" s="148"/>
      <c r="Q20" s="148"/>
      <c r="R20" s="148"/>
      <c r="S20" s="148"/>
      <c r="T20" s="148"/>
      <c r="U20" s="148"/>
      <c r="V20" s="148"/>
      <c r="W20" s="148"/>
      <c r="X20" s="148"/>
      <c r="Y20" s="148"/>
      <c r="Z20" s="148"/>
      <c r="AA20" s="148"/>
      <c r="AB20" s="148"/>
      <c r="AC20" s="148"/>
      <c r="AD20" s="148"/>
      <c r="AE20" s="148"/>
      <c r="AF20" s="148"/>
      <c r="AG20" s="148"/>
      <c r="AH20" s="148"/>
      <c r="AI20" s="148"/>
      <c r="AJ20" s="148"/>
      <c r="AK20" s="148"/>
      <c r="AL20" s="148"/>
      <c r="AM20" s="148"/>
      <c r="AN20" s="148"/>
      <c r="AO20" s="20"/>
      <c r="AP20" s="20"/>
      <c r="AQ20" s="20"/>
      <c r="AR20" s="20"/>
    </row>
    <row r="21" spans="1:44" ht="18">
      <c r="A21" s="149" t="s">
        <v>984</v>
      </c>
      <c r="B21" s="149" t="s">
        <v>991</v>
      </c>
      <c r="C21" s="148"/>
      <c r="D21" s="148"/>
      <c r="E21" s="148"/>
      <c r="F21" s="148"/>
      <c r="G21" s="148"/>
      <c r="H21" s="148"/>
      <c r="I21" s="148"/>
      <c r="J21" s="148"/>
      <c r="K21" s="148"/>
      <c r="L21" s="148"/>
      <c r="M21" s="148"/>
      <c r="N21" s="148"/>
      <c r="O21" s="148"/>
      <c r="P21" s="148"/>
      <c r="Q21" s="148"/>
      <c r="R21" s="148"/>
      <c r="S21" s="148"/>
      <c r="T21" s="148"/>
      <c r="U21" s="148"/>
      <c r="V21" s="148"/>
      <c r="W21" s="148"/>
      <c r="X21" s="148"/>
      <c r="Y21" s="148"/>
      <c r="Z21" s="148"/>
      <c r="AA21" s="148"/>
      <c r="AB21" s="148"/>
      <c r="AC21" s="148"/>
      <c r="AD21" s="148"/>
      <c r="AE21" s="148"/>
      <c r="AF21" s="148"/>
      <c r="AG21" s="148"/>
      <c r="AH21" s="148"/>
      <c r="AI21" s="148"/>
      <c r="AJ21" s="148"/>
      <c r="AK21" s="148"/>
      <c r="AL21" s="148"/>
      <c r="AM21" s="148"/>
      <c r="AN21" s="148"/>
      <c r="AO21" s="20"/>
      <c r="AP21" s="20"/>
      <c r="AQ21" s="20"/>
      <c r="AR21" s="20"/>
    </row>
    <row r="22" spans="1:44" ht="18">
      <c r="A22" s="148"/>
      <c r="B22" s="149" t="s">
        <v>992</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48"/>
      <c r="AE22" s="148"/>
      <c r="AF22" s="148"/>
      <c r="AG22" s="148"/>
      <c r="AH22" s="148"/>
      <c r="AI22" s="148"/>
      <c r="AJ22" s="148"/>
      <c r="AK22" s="148"/>
      <c r="AL22" s="148"/>
      <c r="AM22" s="148"/>
      <c r="AN22" s="148"/>
      <c r="AO22" s="20"/>
      <c r="AP22" s="20"/>
      <c r="AQ22" s="20"/>
      <c r="AR22" s="20"/>
    </row>
    <row r="23" spans="1:44" ht="18">
      <c r="A23" s="150" t="s">
        <v>993</v>
      </c>
      <c r="B23" s="149"/>
      <c r="C23" s="148"/>
      <c r="D23" s="148"/>
      <c r="E23" s="148"/>
      <c r="F23" s="148"/>
      <c r="G23" s="148"/>
      <c r="H23" s="148"/>
      <c r="I23" s="148"/>
      <c r="J23" s="148"/>
      <c r="K23" s="148"/>
      <c r="L23" s="148"/>
      <c r="M23" s="148"/>
      <c r="N23" s="148"/>
      <c r="O23" s="148"/>
      <c r="P23" s="148"/>
      <c r="Q23" s="148"/>
      <c r="R23" s="148"/>
      <c r="S23" s="148"/>
      <c r="T23" s="148"/>
      <c r="U23" s="148"/>
      <c r="V23" s="148"/>
      <c r="W23" s="148"/>
      <c r="X23" s="148"/>
      <c r="Y23" s="148"/>
      <c r="Z23" s="148"/>
      <c r="AA23" s="148"/>
      <c r="AB23" s="148"/>
      <c r="AC23" s="148"/>
      <c r="AD23" s="148"/>
      <c r="AE23" s="148"/>
      <c r="AF23" s="148"/>
      <c r="AG23" s="148"/>
      <c r="AH23" s="148"/>
      <c r="AI23" s="148"/>
      <c r="AJ23" s="148"/>
      <c r="AK23" s="148"/>
      <c r="AL23" s="148"/>
      <c r="AM23" s="148"/>
      <c r="AN23" s="148"/>
      <c r="AO23" s="20"/>
      <c r="AP23" s="20"/>
      <c r="AQ23" s="20"/>
      <c r="AR23" s="20"/>
    </row>
    <row r="24" spans="1:44" ht="18">
      <c r="A24" s="149" t="s">
        <v>977</v>
      </c>
      <c r="B24" s="149" t="s">
        <v>997</v>
      </c>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8"/>
      <c r="AH24" s="148"/>
      <c r="AI24" s="148"/>
      <c r="AJ24" s="148"/>
      <c r="AK24" s="148"/>
      <c r="AL24" s="148"/>
      <c r="AM24" s="148"/>
      <c r="AN24" s="148"/>
      <c r="AO24" s="20"/>
      <c r="AP24" s="20"/>
      <c r="AQ24" s="20"/>
      <c r="AR24" s="20"/>
    </row>
    <row r="25" spans="1:44" ht="18">
      <c r="A25" s="148"/>
      <c r="B25" s="149" t="s">
        <v>953</v>
      </c>
      <c r="C25" s="148"/>
      <c r="D25" s="148"/>
      <c r="E25" s="148"/>
      <c r="F25" s="148"/>
      <c r="G25" s="148"/>
      <c r="H25" s="148"/>
      <c r="I25" s="148"/>
      <c r="J25" s="148"/>
      <c r="K25" s="148"/>
      <c r="L25" s="148"/>
      <c r="M25" s="148"/>
      <c r="N25" s="148"/>
      <c r="O25" s="148"/>
      <c r="P25" s="148"/>
      <c r="Q25" s="148"/>
      <c r="R25" s="148"/>
      <c r="S25" s="148"/>
      <c r="T25" s="148"/>
      <c r="U25" s="148"/>
      <c r="V25" s="148"/>
      <c r="W25" s="148"/>
      <c r="X25" s="148"/>
      <c r="Y25" s="148"/>
      <c r="Z25" s="148"/>
      <c r="AA25" s="148"/>
      <c r="AB25" s="148"/>
      <c r="AC25" s="148"/>
      <c r="AD25" s="148"/>
      <c r="AE25" s="148"/>
      <c r="AF25" s="148"/>
      <c r="AG25" s="148"/>
      <c r="AH25" s="148"/>
      <c r="AI25" s="148"/>
      <c r="AJ25" s="148"/>
      <c r="AK25" s="148"/>
      <c r="AL25" s="148"/>
      <c r="AM25" s="148"/>
      <c r="AN25" s="148"/>
      <c r="AO25" s="20"/>
      <c r="AP25" s="20"/>
      <c r="AQ25" s="20"/>
      <c r="AR25" s="20"/>
    </row>
    <row r="26" spans="1:44" ht="18">
      <c r="A26" s="149" t="s">
        <v>979</v>
      </c>
      <c r="B26" s="149" t="s">
        <v>998</v>
      </c>
      <c r="C26" s="148"/>
      <c r="D26" s="148"/>
      <c r="E26" s="148"/>
      <c r="F26" s="148"/>
      <c r="G26" s="148"/>
      <c r="H26" s="148"/>
      <c r="I26" s="148"/>
      <c r="J26" s="148"/>
      <c r="K26" s="148"/>
      <c r="L26" s="148"/>
      <c r="M26" s="148"/>
      <c r="N26" s="148"/>
      <c r="O26" s="148"/>
      <c r="P26" s="148"/>
      <c r="Q26" s="148"/>
      <c r="R26" s="148"/>
      <c r="S26" s="148"/>
      <c r="T26" s="148"/>
      <c r="U26" s="148"/>
      <c r="V26" s="148"/>
      <c r="W26" s="148"/>
      <c r="X26" s="148"/>
      <c r="Y26" s="148"/>
      <c r="Z26" s="148"/>
      <c r="AA26" s="148"/>
      <c r="AB26" s="148"/>
      <c r="AC26" s="148"/>
      <c r="AD26" s="148"/>
      <c r="AE26" s="148"/>
      <c r="AF26" s="148"/>
      <c r="AG26" s="148"/>
      <c r="AH26" s="148"/>
      <c r="AI26" s="148"/>
      <c r="AJ26" s="148"/>
      <c r="AK26" s="148"/>
      <c r="AL26" s="148"/>
      <c r="AM26" s="148"/>
      <c r="AN26" s="148"/>
      <c r="AO26" s="20"/>
      <c r="AP26" s="20"/>
      <c r="AQ26" s="20"/>
      <c r="AR26" s="20"/>
    </row>
    <row r="27" spans="1:44" ht="18">
      <c r="A27" s="148"/>
      <c r="B27" s="149" t="s">
        <v>999</v>
      </c>
      <c r="C27" s="148"/>
      <c r="D27" s="148"/>
      <c r="E27" s="148"/>
      <c r="F27" s="148"/>
      <c r="G27" s="148"/>
      <c r="H27" s="148"/>
      <c r="I27" s="148"/>
      <c r="J27" s="148"/>
      <c r="K27" s="148"/>
      <c r="L27" s="148"/>
      <c r="M27" s="148"/>
      <c r="N27" s="148"/>
      <c r="O27" s="148"/>
      <c r="P27" s="148"/>
      <c r="Q27" s="148"/>
      <c r="R27" s="148"/>
      <c r="S27" s="148"/>
      <c r="T27" s="148"/>
      <c r="U27" s="148"/>
      <c r="V27" s="148"/>
      <c r="W27" s="148"/>
      <c r="X27" s="148"/>
      <c r="Y27" s="148"/>
      <c r="Z27" s="148"/>
      <c r="AA27" s="148"/>
      <c r="AB27" s="148"/>
      <c r="AC27" s="148"/>
      <c r="AD27" s="148"/>
      <c r="AE27" s="148"/>
      <c r="AF27" s="148"/>
      <c r="AG27" s="148"/>
      <c r="AH27" s="148"/>
      <c r="AI27" s="148"/>
      <c r="AJ27" s="148"/>
      <c r="AK27" s="148"/>
      <c r="AL27" s="148"/>
      <c r="AM27" s="148"/>
      <c r="AN27" s="148"/>
      <c r="AO27" s="20"/>
      <c r="AP27" s="20"/>
      <c r="AQ27" s="20"/>
      <c r="AR27" s="20"/>
    </row>
    <row r="28" spans="1:44" ht="18">
      <c r="B28" s="149" t="s">
        <v>1000</v>
      </c>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c r="AI28" s="148"/>
      <c r="AJ28" s="148"/>
      <c r="AK28" s="148"/>
      <c r="AL28" s="148"/>
      <c r="AM28" s="148"/>
      <c r="AN28" s="148"/>
      <c r="AO28" s="20"/>
      <c r="AP28" s="20"/>
      <c r="AQ28" s="20"/>
      <c r="AR28" s="20"/>
    </row>
    <row r="29" spans="1:44" ht="18">
      <c r="A29" s="149" t="s">
        <v>984</v>
      </c>
      <c r="B29" s="149" t="s">
        <v>1001</v>
      </c>
      <c r="C29" s="148"/>
      <c r="D29" s="148"/>
      <c r="E29" s="148"/>
      <c r="F29" s="148"/>
      <c r="G29" s="148"/>
      <c r="H29" s="148"/>
      <c r="I29" s="148"/>
      <c r="J29" s="148"/>
      <c r="K29" s="148"/>
      <c r="L29" s="148"/>
      <c r="M29" s="148"/>
      <c r="N29" s="148"/>
      <c r="O29" s="148"/>
      <c r="P29" s="148"/>
      <c r="Q29" s="148"/>
      <c r="R29" s="148"/>
      <c r="S29" s="148"/>
      <c r="T29" s="148"/>
      <c r="U29" s="148"/>
      <c r="V29" s="148"/>
      <c r="W29" s="148"/>
      <c r="X29" s="148"/>
      <c r="Y29" s="148"/>
      <c r="Z29" s="148"/>
      <c r="AA29" s="148"/>
      <c r="AB29" s="148"/>
      <c r="AC29" s="148"/>
      <c r="AD29" s="148"/>
      <c r="AE29" s="148"/>
      <c r="AF29" s="148"/>
      <c r="AG29" s="148"/>
      <c r="AH29" s="148"/>
      <c r="AI29" s="148"/>
      <c r="AJ29" s="148"/>
      <c r="AK29" s="148"/>
      <c r="AL29" s="148"/>
      <c r="AM29" s="148"/>
      <c r="AN29" s="148"/>
      <c r="AO29" s="20"/>
      <c r="AP29" s="20"/>
      <c r="AQ29" s="20"/>
      <c r="AR29" s="20"/>
    </row>
    <row r="30" spans="1:44" ht="18">
      <c r="A30" s="148"/>
      <c r="B30" s="149" t="s">
        <v>986</v>
      </c>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20"/>
      <c r="AP30" s="20"/>
      <c r="AQ30" s="20"/>
      <c r="AR30" s="20"/>
    </row>
    <row r="31" spans="1:44" ht="18">
      <c r="A31" s="148"/>
      <c r="B31" s="149" t="s">
        <v>1002</v>
      </c>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20"/>
      <c r="AP31" s="20"/>
      <c r="AQ31" s="20"/>
      <c r="AR31" s="20"/>
    </row>
    <row r="32" spans="1:44" ht="18">
      <c r="A32" s="148"/>
      <c r="B32" s="149" t="s">
        <v>999</v>
      </c>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20"/>
      <c r="AP32" s="20"/>
      <c r="AQ32" s="20"/>
      <c r="AR32" s="20"/>
    </row>
    <row r="33" spans="1:44" ht="18">
      <c r="A33" s="150" t="s">
        <v>994</v>
      </c>
      <c r="B33" s="149"/>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20"/>
      <c r="AP33" s="20"/>
      <c r="AQ33" s="20"/>
      <c r="AR33" s="20"/>
    </row>
    <row r="34" spans="1:44" ht="18">
      <c r="A34" s="149" t="s">
        <v>977</v>
      </c>
      <c r="B34" s="149" t="s">
        <v>302</v>
      </c>
      <c r="C34" s="148"/>
      <c r="D34" s="148"/>
      <c r="E34" s="148"/>
      <c r="F34" s="148"/>
      <c r="G34" s="148"/>
      <c r="H34" s="148"/>
      <c r="I34" s="148"/>
      <c r="J34" s="148"/>
      <c r="K34" s="148"/>
      <c r="L34" s="148"/>
      <c r="M34" s="148"/>
      <c r="N34" s="148"/>
      <c r="O34" s="148"/>
      <c r="P34" s="148"/>
      <c r="Q34" s="148"/>
      <c r="R34" s="148"/>
      <c r="S34" s="148"/>
      <c r="T34" s="148"/>
      <c r="U34" s="148"/>
      <c r="V34" s="148"/>
      <c r="W34" s="148"/>
      <c r="X34" s="148"/>
      <c r="Y34" s="148"/>
      <c r="Z34" s="148"/>
      <c r="AA34" s="148"/>
      <c r="AB34" s="148"/>
      <c r="AC34" s="148"/>
      <c r="AD34" s="148"/>
      <c r="AE34" s="148"/>
      <c r="AF34" s="148"/>
      <c r="AG34" s="148"/>
      <c r="AH34" s="148"/>
      <c r="AI34" s="148"/>
      <c r="AJ34" s="148"/>
      <c r="AK34" s="148"/>
      <c r="AL34" s="148"/>
      <c r="AM34" s="148"/>
      <c r="AN34" s="148"/>
      <c r="AO34" s="20"/>
      <c r="AP34" s="20"/>
      <c r="AQ34" s="20"/>
      <c r="AR34" s="20"/>
    </row>
    <row r="35" spans="1:44" ht="18">
      <c r="A35" s="148"/>
      <c r="B35" s="149" t="s">
        <v>1003</v>
      </c>
      <c r="C35" s="148"/>
      <c r="D35" s="148"/>
      <c r="E35" s="148"/>
      <c r="F35" s="148"/>
      <c r="G35" s="148"/>
      <c r="H35" s="148"/>
      <c r="I35" s="148"/>
      <c r="J35" s="148"/>
      <c r="K35" s="148"/>
      <c r="L35" s="148"/>
      <c r="M35" s="148"/>
      <c r="N35" s="148"/>
      <c r="O35" s="148"/>
      <c r="P35" s="148"/>
      <c r="Q35" s="148"/>
      <c r="R35" s="148"/>
      <c r="S35" s="148"/>
      <c r="T35" s="148"/>
      <c r="U35" s="148"/>
      <c r="V35" s="148"/>
      <c r="W35" s="148"/>
      <c r="X35" s="148"/>
      <c r="Y35" s="148"/>
      <c r="Z35" s="148"/>
      <c r="AA35" s="148"/>
      <c r="AB35" s="148"/>
      <c r="AC35" s="148"/>
      <c r="AD35" s="148"/>
      <c r="AE35" s="148"/>
      <c r="AF35" s="148"/>
      <c r="AG35" s="148"/>
      <c r="AH35" s="148"/>
      <c r="AI35" s="148"/>
      <c r="AJ35" s="148"/>
      <c r="AK35" s="148"/>
      <c r="AL35" s="148"/>
      <c r="AM35" s="148"/>
      <c r="AN35" s="148"/>
      <c r="AO35" s="20"/>
      <c r="AP35" s="20"/>
      <c r="AQ35" s="20"/>
      <c r="AR35" s="20"/>
    </row>
    <row r="36" spans="1:44" ht="18">
      <c r="A36" s="149" t="s">
        <v>979</v>
      </c>
      <c r="B36" s="149" t="s">
        <v>198</v>
      </c>
      <c r="C36" s="148"/>
      <c r="D36" s="148"/>
      <c r="E36" s="148"/>
      <c r="F36" s="148"/>
      <c r="G36" s="148"/>
      <c r="H36" s="148"/>
      <c r="I36" s="148"/>
      <c r="J36" s="148"/>
      <c r="K36" s="148"/>
      <c r="L36" s="148"/>
      <c r="M36" s="148"/>
      <c r="N36" s="148"/>
      <c r="O36" s="148"/>
      <c r="P36" s="148"/>
      <c r="Q36" s="148"/>
      <c r="R36" s="148"/>
      <c r="S36" s="148"/>
      <c r="T36" s="148"/>
      <c r="U36" s="148"/>
      <c r="V36" s="148"/>
      <c r="W36" s="148"/>
      <c r="X36" s="148"/>
      <c r="Y36" s="148"/>
      <c r="Z36" s="148"/>
      <c r="AA36" s="148"/>
      <c r="AB36" s="148"/>
      <c r="AC36" s="148"/>
      <c r="AD36" s="148"/>
      <c r="AE36" s="148"/>
      <c r="AF36" s="148"/>
      <c r="AG36" s="148"/>
      <c r="AH36" s="148"/>
      <c r="AI36" s="148"/>
      <c r="AJ36" s="148"/>
      <c r="AK36" s="148"/>
      <c r="AL36" s="148"/>
      <c r="AM36" s="148"/>
      <c r="AN36" s="148"/>
      <c r="AO36" s="20"/>
      <c r="AP36" s="20"/>
      <c r="AQ36" s="20"/>
      <c r="AR36" s="20"/>
    </row>
    <row r="37" spans="1:44" ht="18">
      <c r="A37" s="148"/>
      <c r="B37" s="149"/>
      <c r="C37" s="148"/>
      <c r="D37" s="148"/>
      <c r="E37" s="148"/>
      <c r="F37" s="148"/>
      <c r="G37" s="148"/>
      <c r="H37" s="148"/>
      <c r="I37" s="148"/>
      <c r="J37" s="148"/>
      <c r="K37" s="148"/>
      <c r="L37" s="148"/>
      <c r="M37" s="148"/>
      <c r="N37" s="148"/>
      <c r="O37" s="148"/>
      <c r="P37" s="148"/>
      <c r="Q37" s="148"/>
      <c r="R37" s="148"/>
      <c r="S37" s="148"/>
      <c r="T37" s="148"/>
      <c r="U37" s="148"/>
      <c r="V37" s="148"/>
      <c r="W37" s="148"/>
      <c r="X37" s="148"/>
      <c r="Y37" s="148"/>
      <c r="Z37" s="148"/>
      <c r="AA37" s="148"/>
      <c r="AB37" s="148"/>
      <c r="AC37" s="148"/>
      <c r="AD37" s="148"/>
      <c r="AE37" s="148"/>
      <c r="AF37" s="148"/>
      <c r="AG37" s="148"/>
      <c r="AH37" s="148"/>
      <c r="AI37" s="148"/>
      <c r="AJ37" s="148"/>
      <c r="AK37" s="148"/>
      <c r="AL37" s="148"/>
      <c r="AM37" s="148"/>
      <c r="AN37" s="148"/>
      <c r="AO37" s="20"/>
      <c r="AP37" s="20"/>
      <c r="AQ37" s="20"/>
      <c r="AR37" s="20"/>
    </row>
    <row r="38" spans="1:44" ht="18">
      <c r="A38" s="150" t="s">
        <v>995</v>
      </c>
      <c r="B38" s="149"/>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8"/>
      <c r="AF38" s="148"/>
      <c r="AG38" s="148"/>
      <c r="AH38" s="148"/>
      <c r="AI38" s="148"/>
      <c r="AJ38" s="148"/>
      <c r="AK38" s="148"/>
      <c r="AL38" s="148"/>
      <c r="AM38" s="148"/>
      <c r="AN38" s="148"/>
      <c r="AO38" s="20"/>
      <c r="AP38" s="20"/>
      <c r="AQ38" s="20"/>
      <c r="AR38" s="20"/>
    </row>
    <row r="39" spans="1:44" ht="18">
      <c r="A39" s="149" t="s">
        <v>977</v>
      </c>
      <c r="B39" s="2" t="s">
        <v>1010</v>
      </c>
      <c r="C39" s="148"/>
      <c r="D39" s="148"/>
      <c r="E39" s="148"/>
      <c r="F39" s="148"/>
      <c r="G39" s="148"/>
      <c r="H39" s="148"/>
      <c r="I39" s="148"/>
      <c r="J39" s="148"/>
      <c r="K39" s="148"/>
      <c r="L39" s="148"/>
      <c r="M39" s="148"/>
      <c r="N39" s="148"/>
      <c r="O39" s="148"/>
      <c r="P39" s="148"/>
      <c r="Q39" s="148"/>
      <c r="R39" s="148"/>
      <c r="S39" s="148"/>
      <c r="T39" s="148"/>
      <c r="U39" s="148"/>
      <c r="V39" s="148"/>
      <c r="W39" s="148"/>
      <c r="X39" s="148"/>
      <c r="Y39" s="148"/>
      <c r="Z39" s="148"/>
      <c r="AA39" s="148"/>
      <c r="AB39" s="148"/>
      <c r="AC39" s="148"/>
      <c r="AD39" s="148"/>
      <c r="AE39" s="148"/>
      <c r="AF39" s="148"/>
      <c r="AG39" s="148"/>
      <c r="AH39" s="148"/>
      <c r="AI39" s="148"/>
      <c r="AJ39" s="148"/>
      <c r="AK39" s="148"/>
      <c r="AL39" s="148"/>
      <c r="AM39" s="148"/>
      <c r="AN39" s="148"/>
      <c r="AO39" s="20"/>
      <c r="AP39" s="20"/>
      <c r="AQ39" s="20"/>
      <c r="AR39" s="20"/>
    </row>
    <row r="40" spans="1:44" ht="18">
      <c r="A40" s="148"/>
      <c r="B40" s="2" t="s">
        <v>1011</v>
      </c>
      <c r="C40" s="148"/>
      <c r="D40" s="148"/>
      <c r="E40" s="148"/>
      <c r="F40" s="148"/>
      <c r="G40" s="148"/>
      <c r="H40" s="148"/>
      <c r="I40" s="148"/>
      <c r="J40" s="148"/>
      <c r="K40" s="148"/>
      <c r="L40" s="148"/>
      <c r="M40" s="148"/>
      <c r="N40" s="148"/>
      <c r="O40" s="148"/>
      <c r="P40" s="148"/>
      <c r="Q40" s="148"/>
      <c r="R40" s="148"/>
      <c r="S40" s="148"/>
      <c r="T40" s="148"/>
      <c r="U40" s="148"/>
      <c r="V40" s="148"/>
      <c r="W40" s="148"/>
      <c r="X40" s="148"/>
      <c r="Y40" s="148"/>
      <c r="Z40" s="148"/>
      <c r="AA40" s="148"/>
      <c r="AB40" s="148"/>
      <c r="AC40" s="148"/>
      <c r="AD40" s="148"/>
      <c r="AE40" s="148"/>
      <c r="AF40" s="148"/>
      <c r="AG40" s="148"/>
      <c r="AH40" s="148"/>
      <c r="AI40" s="148"/>
      <c r="AJ40" s="148"/>
      <c r="AK40" s="148"/>
      <c r="AL40" s="148"/>
      <c r="AM40" s="148"/>
      <c r="AN40" s="148"/>
      <c r="AO40" s="20"/>
      <c r="AP40" s="20"/>
      <c r="AQ40" s="20"/>
      <c r="AR40" s="20"/>
    </row>
    <row r="41" spans="1:44" ht="18">
      <c r="A41" s="149" t="s">
        <v>979</v>
      </c>
      <c r="B41" s="149" t="s">
        <v>1006</v>
      </c>
      <c r="C41" s="148"/>
      <c r="D41" s="148"/>
      <c r="E41" s="148"/>
      <c r="F41" s="148"/>
      <c r="G41" s="148"/>
      <c r="H41" s="148"/>
      <c r="I41" s="148"/>
      <c r="J41" s="148"/>
      <c r="K41" s="148"/>
      <c r="L41" s="148"/>
      <c r="M41" s="148"/>
      <c r="N41" s="148"/>
      <c r="O41" s="148"/>
      <c r="P41" s="148"/>
      <c r="Q41" s="148"/>
      <c r="R41" s="148"/>
      <c r="S41" s="148"/>
      <c r="T41" s="148"/>
      <c r="U41" s="148"/>
      <c r="V41" s="148"/>
      <c r="W41" s="148"/>
      <c r="X41" s="148"/>
      <c r="Y41" s="148"/>
      <c r="Z41" s="148"/>
      <c r="AA41" s="148"/>
      <c r="AB41" s="148"/>
      <c r="AC41" s="148"/>
      <c r="AD41" s="148"/>
      <c r="AE41" s="148"/>
      <c r="AF41" s="148"/>
      <c r="AG41" s="148"/>
      <c r="AH41" s="148"/>
      <c r="AI41" s="148"/>
      <c r="AJ41" s="148"/>
      <c r="AK41" s="148"/>
      <c r="AL41" s="148"/>
      <c r="AM41" s="148"/>
      <c r="AN41" s="148"/>
      <c r="AO41" s="20"/>
      <c r="AP41" s="20"/>
      <c r="AQ41" s="20"/>
      <c r="AR41" s="20"/>
    </row>
    <row r="42" spans="1:44" ht="18">
      <c r="A42" s="150"/>
      <c r="B42" s="149" t="s">
        <v>1007</v>
      </c>
      <c r="C42" s="148"/>
      <c r="D42" s="148"/>
      <c r="E42" s="148"/>
      <c r="F42" s="148"/>
      <c r="G42" s="148"/>
      <c r="H42" s="148"/>
      <c r="I42" s="148"/>
      <c r="J42" s="148"/>
      <c r="K42" s="148"/>
      <c r="L42" s="148"/>
      <c r="M42" s="148"/>
      <c r="N42" s="148"/>
      <c r="O42" s="148"/>
      <c r="P42" s="148"/>
      <c r="Q42" s="148"/>
      <c r="R42" s="148"/>
      <c r="S42" s="148"/>
      <c r="T42" s="148"/>
      <c r="U42" s="148"/>
      <c r="V42" s="148"/>
      <c r="W42" s="148"/>
      <c r="X42" s="148"/>
      <c r="Y42" s="148"/>
      <c r="Z42" s="148"/>
      <c r="AA42" s="148"/>
      <c r="AB42" s="148"/>
      <c r="AC42" s="148"/>
      <c r="AD42" s="148"/>
      <c r="AE42" s="148"/>
      <c r="AF42" s="148"/>
      <c r="AG42" s="148"/>
      <c r="AH42" s="148"/>
      <c r="AI42" s="148"/>
      <c r="AJ42" s="148"/>
      <c r="AK42" s="148"/>
      <c r="AL42" s="148"/>
      <c r="AM42" s="148"/>
      <c r="AN42" s="148"/>
      <c r="AO42" s="20"/>
      <c r="AP42" s="20"/>
      <c r="AQ42" s="20"/>
      <c r="AR42" s="20"/>
    </row>
    <row r="43" spans="1:44" ht="18">
      <c r="A43" s="150"/>
      <c r="B43" s="149" t="s">
        <v>1008</v>
      </c>
      <c r="C43" s="148"/>
      <c r="D43" s="148"/>
      <c r="E43" s="148"/>
      <c r="F43" s="148"/>
      <c r="G43" s="148"/>
      <c r="H43" s="148"/>
      <c r="I43" s="148"/>
      <c r="J43" s="148"/>
      <c r="K43" s="148"/>
      <c r="L43" s="148"/>
      <c r="M43" s="148"/>
      <c r="N43" s="148"/>
      <c r="O43" s="148"/>
      <c r="P43" s="148"/>
      <c r="Q43" s="148"/>
      <c r="R43" s="148"/>
      <c r="S43" s="148"/>
      <c r="T43" s="148"/>
      <c r="U43" s="148"/>
      <c r="V43" s="148"/>
      <c r="W43" s="148"/>
      <c r="X43" s="148"/>
      <c r="Y43" s="148"/>
      <c r="Z43" s="148"/>
      <c r="AA43" s="148"/>
      <c r="AB43" s="148"/>
      <c r="AC43" s="148"/>
      <c r="AD43" s="148"/>
      <c r="AE43" s="148"/>
      <c r="AF43" s="148"/>
      <c r="AG43" s="148"/>
      <c r="AH43" s="148"/>
      <c r="AI43" s="148"/>
      <c r="AJ43" s="148"/>
      <c r="AK43" s="148"/>
      <c r="AL43" s="148"/>
      <c r="AM43" s="148"/>
      <c r="AN43" s="148"/>
      <c r="AO43" s="20"/>
      <c r="AP43" s="20"/>
      <c r="AQ43" s="20"/>
      <c r="AR43" s="20"/>
    </row>
    <row r="44" spans="1:44" ht="18">
      <c r="A44" s="150"/>
      <c r="B44" s="149" t="s">
        <v>1009</v>
      </c>
      <c r="C44" s="148"/>
      <c r="D44" s="148"/>
      <c r="E44" s="148"/>
      <c r="F44" s="148"/>
      <c r="G44" s="148"/>
      <c r="H44" s="148"/>
      <c r="I44" s="148"/>
      <c r="J44" s="148"/>
      <c r="K44" s="148"/>
      <c r="L44" s="148"/>
      <c r="M44" s="148"/>
      <c r="N44" s="148"/>
      <c r="O44" s="148"/>
      <c r="P44" s="148"/>
      <c r="Q44" s="148"/>
      <c r="R44" s="148"/>
      <c r="S44" s="148"/>
      <c r="T44" s="148"/>
      <c r="U44" s="148"/>
      <c r="V44" s="148"/>
      <c r="W44" s="148"/>
      <c r="X44" s="148"/>
      <c r="Y44" s="148"/>
      <c r="Z44" s="148"/>
      <c r="AA44" s="148"/>
      <c r="AB44" s="148"/>
      <c r="AC44" s="148"/>
      <c r="AD44" s="148"/>
      <c r="AE44" s="148"/>
      <c r="AF44" s="148"/>
      <c r="AG44" s="148"/>
      <c r="AH44" s="148"/>
      <c r="AI44" s="148"/>
      <c r="AJ44" s="148"/>
      <c r="AK44" s="148"/>
      <c r="AL44" s="148"/>
      <c r="AM44" s="148"/>
      <c r="AN44" s="148"/>
      <c r="AO44" s="20"/>
      <c r="AP44" s="20"/>
      <c r="AQ44" s="20"/>
      <c r="AR44" s="20"/>
    </row>
    <row r="45" spans="1:44" ht="18">
      <c r="A45" s="150"/>
      <c r="B45" s="149"/>
      <c r="C45" s="148"/>
      <c r="D45" s="148"/>
      <c r="E45" s="148"/>
      <c r="F45" s="148"/>
      <c r="G45" s="148"/>
      <c r="H45" s="148"/>
      <c r="I45" s="148"/>
      <c r="J45" s="148"/>
      <c r="K45" s="148"/>
      <c r="L45" s="148"/>
      <c r="M45" s="148"/>
      <c r="N45" s="148"/>
      <c r="O45" s="148"/>
      <c r="P45" s="148"/>
      <c r="Q45" s="148"/>
      <c r="R45" s="148"/>
      <c r="S45" s="148"/>
      <c r="T45" s="148"/>
      <c r="U45" s="148"/>
      <c r="V45" s="148"/>
      <c r="W45" s="148"/>
      <c r="X45" s="148"/>
      <c r="Y45" s="148"/>
      <c r="Z45" s="148"/>
      <c r="AA45" s="148"/>
      <c r="AB45" s="148"/>
      <c r="AC45" s="148"/>
      <c r="AD45" s="148"/>
      <c r="AE45" s="148"/>
      <c r="AF45" s="148"/>
      <c r="AG45" s="148"/>
      <c r="AH45" s="148"/>
      <c r="AI45" s="148"/>
      <c r="AJ45" s="148"/>
      <c r="AK45" s="148"/>
      <c r="AL45" s="148"/>
      <c r="AM45" s="148"/>
      <c r="AN45" s="148"/>
      <c r="AO45" s="20"/>
      <c r="AP45" s="20"/>
      <c r="AQ45" s="20"/>
      <c r="AR45" s="20"/>
    </row>
    <row r="46" spans="1:44" ht="18">
      <c r="A46" s="150" t="s">
        <v>996</v>
      </c>
      <c r="B46" s="149"/>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8"/>
      <c r="AH46" s="148"/>
      <c r="AI46" s="148"/>
      <c r="AJ46" s="148"/>
      <c r="AK46" s="148"/>
      <c r="AL46" s="148"/>
      <c r="AM46" s="148"/>
      <c r="AN46" s="148"/>
      <c r="AO46" s="20"/>
      <c r="AP46" s="20"/>
      <c r="AQ46" s="20"/>
      <c r="AR46" s="20"/>
    </row>
    <row r="47" spans="1:44" ht="18">
      <c r="A47" s="149" t="s">
        <v>977</v>
      </c>
      <c r="B47" s="149" t="s">
        <v>1012</v>
      </c>
      <c r="C47" s="148"/>
      <c r="D47" s="148"/>
      <c r="E47" s="148"/>
      <c r="F47" s="148"/>
      <c r="G47" s="148"/>
      <c r="H47" s="148"/>
      <c r="I47" s="148"/>
      <c r="J47" s="148"/>
      <c r="K47" s="148"/>
      <c r="L47" s="148"/>
      <c r="M47" s="148"/>
      <c r="N47" s="148"/>
      <c r="O47" s="148"/>
      <c r="P47" s="148"/>
      <c r="Q47" s="148"/>
      <c r="R47" s="148"/>
      <c r="S47" s="148"/>
      <c r="T47" s="148"/>
      <c r="U47" s="148"/>
      <c r="V47" s="148"/>
      <c r="W47" s="148"/>
      <c r="X47" s="148"/>
      <c r="Y47" s="148"/>
      <c r="Z47" s="148"/>
      <c r="AA47" s="148"/>
      <c r="AB47" s="148"/>
      <c r="AC47" s="148"/>
      <c r="AD47" s="148"/>
      <c r="AE47" s="148"/>
      <c r="AF47" s="148"/>
      <c r="AG47" s="148"/>
      <c r="AH47" s="148"/>
      <c r="AI47" s="148"/>
      <c r="AJ47" s="148"/>
      <c r="AK47" s="148"/>
      <c r="AL47" s="148"/>
      <c r="AM47" s="148"/>
      <c r="AN47" s="148"/>
      <c r="AO47" s="20"/>
      <c r="AP47" s="20"/>
      <c r="AQ47" s="20"/>
      <c r="AR47" s="20"/>
    </row>
    <row r="48" spans="1:44" ht="18">
      <c r="A48" s="150"/>
      <c r="B48" s="149" t="s">
        <v>318</v>
      </c>
      <c r="C48" s="148"/>
      <c r="D48" s="148"/>
      <c r="E48" s="148"/>
      <c r="F48" s="148"/>
      <c r="G48" s="148"/>
      <c r="H48" s="148"/>
      <c r="I48" s="148"/>
      <c r="J48" s="148"/>
      <c r="K48" s="148"/>
      <c r="L48" s="148"/>
      <c r="M48" s="148"/>
      <c r="N48" s="148"/>
      <c r="O48" s="148"/>
      <c r="P48" s="148"/>
      <c r="Q48" s="148"/>
      <c r="R48" s="148"/>
      <c r="S48" s="148"/>
      <c r="T48" s="148"/>
      <c r="U48" s="148"/>
      <c r="V48" s="148"/>
      <c r="W48" s="148"/>
      <c r="X48" s="148"/>
      <c r="Y48" s="148"/>
      <c r="Z48" s="148"/>
      <c r="AA48" s="148"/>
      <c r="AB48" s="148"/>
      <c r="AC48" s="148"/>
      <c r="AD48" s="148"/>
      <c r="AE48" s="148"/>
      <c r="AF48" s="148"/>
      <c r="AG48" s="148"/>
      <c r="AH48" s="148"/>
      <c r="AI48" s="148"/>
      <c r="AJ48" s="148"/>
      <c r="AK48" s="148"/>
      <c r="AL48" s="148"/>
      <c r="AM48" s="148"/>
      <c r="AN48" s="148"/>
      <c r="AO48" s="20"/>
      <c r="AP48" s="20"/>
      <c r="AQ48" s="20"/>
      <c r="AR48" s="20"/>
    </row>
    <row r="49" spans="1:44" ht="18">
      <c r="A49" s="150"/>
      <c r="B49" s="149" t="s">
        <v>1013</v>
      </c>
      <c r="C49" s="148"/>
      <c r="D49" s="148"/>
      <c r="E49" s="148"/>
      <c r="F49" s="148"/>
      <c r="G49" s="148"/>
      <c r="H49" s="148"/>
      <c r="I49" s="148"/>
      <c r="J49" s="148"/>
      <c r="K49" s="148"/>
      <c r="L49" s="148"/>
      <c r="M49" s="148"/>
      <c r="N49" s="148"/>
      <c r="O49" s="148"/>
      <c r="P49" s="148"/>
      <c r="Q49" s="148"/>
      <c r="R49" s="148"/>
      <c r="S49" s="148"/>
      <c r="T49" s="148"/>
      <c r="U49" s="148"/>
      <c r="V49" s="148"/>
      <c r="W49" s="148"/>
      <c r="X49" s="148"/>
      <c r="Y49" s="148"/>
      <c r="Z49" s="148"/>
      <c r="AA49" s="148"/>
      <c r="AB49" s="148"/>
      <c r="AC49" s="148"/>
      <c r="AD49" s="148"/>
      <c r="AE49" s="148"/>
      <c r="AF49" s="148"/>
      <c r="AG49" s="148"/>
      <c r="AH49" s="148"/>
      <c r="AI49" s="148"/>
      <c r="AJ49" s="148"/>
      <c r="AK49" s="148"/>
      <c r="AL49" s="148"/>
      <c r="AM49" s="148"/>
      <c r="AN49" s="148"/>
      <c r="AO49" s="20"/>
      <c r="AP49" s="20"/>
      <c r="AQ49" s="20"/>
      <c r="AR49" s="20"/>
    </row>
    <row r="50" spans="1:44" ht="18">
      <c r="A50" s="149" t="s">
        <v>979</v>
      </c>
      <c r="B50" s="149" t="s">
        <v>1014</v>
      </c>
      <c r="C50" s="148"/>
      <c r="D50" s="148"/>
      <c r="E50" s="148"/>
      <c r="F50" s="148"/>
      <c r="G50" s="148"/>
      <c r="H50" s="148"/>
      <c r="I50" s="148"/>
      <c r="J50" s="148"/>
      <c r="K50" s="148"/>
      <c r="L50" s="148"/>
      <c r="M50" s="148"/>
      <c r="N50" s="148"/>
      <c r="O50" s="148"/>
      <c r="P50" s="148"/>
      <c r="Q50" s="148"/>
      <c r="R50" s="148"/>
      <c r="S50" s="148"/>
      <c r="T50" s="148"/>
      <c r="U50" s="148"/>
      <c r="V50" s="148"/>
      <c r="W50" s="148"/>
      <c r="X50" s="148"/>
      <c r="Y50" s="148"/>
      <c r="Z50" s="148"/>
      <c r="AA50" s="148"/>
      <c r="AB50" s="148"/>
      <c r="AC50" s="148"/>
      <c r="AD50" s="148"/>
      <c r="AE50" s="148"/>
      <c r="AF50" s="148"/>
      <c r="AG50" s="148"/>
      <c r="AH50" s="148"/>
      <c r="AI50" s="148"/>
      <c r="AJ50" s="148"/>
      <c r="AK50" s="148"/>
      <c r="AL50" s="148"/>
      <c r="AM50" s="148"/>
      <c r="AN50" s="148"/>
      <c r="AO50" s="20"/>
      <c r="AP50" s="20"/>
      <c r="AQ50" s="20"/>
      <c r="AR50" s="20"/>
    </row>
    <row r="51" spans="1:44" ht="18">
      <c r="A51" s="150"/>
      <c r="B51" s="149" t="s">
        <v>1015</v>
      </c>
      <c r="C51" s="148"/>
      <c r="D51" s="148"/>
      <c r="E51" s="148"/>
      <c r="F51" s="148"/>
      <c r="G51" s="148"/>
      <c r="H51" s="148"/>
      <c r="I51" s="148"/>
      <c r="J51" s="148"/>
      <c r="K51" s="148"/>
      <c r="L51" s="148"/>
      <c r="M51" s="148"/>
      <c r="N51" s="148"/>
      <c r="O51" s="148"/>
      <c r="P51" s="148"/>
      <c r="Q51" s="148"/>
      <c r="R51" s="148"/>
      <c r="S51" s="148"/>
      <c r="T51" s="148"/>
      <c r="U51" s="148"/>
      <c r="V51" s="148"/>
      <c r="W51" s="148"/>
      <c r="X51" s="148"/>
      <c r="Y51" s="148"/>
      <c r="Z51" s="148"/>
      <c r="AA51" s="148"/>
      <c r="AB51" s="148"/>
      <c r="AC51" s="148"/>
      <c r="AD51" s="148"/>
      <c r="AE51" s="148"/>
      <c r="AF51" s="148"/>
      <c r="AG51" s="148"/>
      <c r="AH51" s="148"/>
      <c r="AI51" s="148"/>
      <c r="AJ51" s="148"/>
      <c r="AK51" s="148"/>
      <c r="AL51" s="148"/>
      <c r="AM51" s="148"/>
      <c r="AN51" s="148"/>
      <c r="AO51" s="20"/>
      <c r="AP51" s="20"/>
      <c r="AQ51" s="20"/>
      <c r="AR51" s="20"/>
    </row>
    <row r="52" spans="1:44" ht="18">
      <c r="A52" s="150"/>
      <c r="B52" s="149"/>
      <c r="C52" s="148"/>
      <c r="D52" s="148"/>
      <c r="E52" s="148"/>
      <c r="F52" s="148"/>
      <c r="G52" s="148"/>
      <c r="H52" s="148"/>
      <c r="I52" s="148"/>
      <c r="J52" s="148"/>
      <c r="K52" s="148"/>
      <c r="L52" s="148"/>
      <c r="M52" s="148"/>
      <c r="N52" s="148"/>
      <c r="O52" s="148"/>
      <c r="P52" s="148"/>
      <c r="Q52" s="148"/>
      <c r="R52" s="148"/>
      <c r="S52" s="148"/>
      <c r="T52" s="148"/>
      <c r="U52" s="148"/>
      <c r="V52" s="148"/>
      <c r="W52" s="148"/>
      <c r="X52" s="148"/>
      <c r="Y52" s="148"/>
      <c r="Z52" s="148"/>
      <c r="AA52" s="148"/>
      <c r="AB52" s="148"/>
      <c r="AC52" s="148"/>
      <c r="AD52" s="148"/>
      <c r="AE52" s="148"/>
      <c r="AF52" s="148"/>
      <c r="AG52" s="148"/>
      <c r="AH52" s="148"/>
      <c r="AI52" s="148"/>
      <c r="AJ52" s="148"/>
      <c r="AK52" s="148"/>
      <c r="AL52" s="148"/>
      <c r="AM52" s="148"/>
      <c r="AN52" s="148"/>
      <c r="AO52" s="20"/>
      <c r="AP52" s="20"/>
      <c r="AQ52" s="20"/>
      <c r="AR52" s="20"/>
    </row>
    <row r="53" spans="1:44" ht="18">
      <c r="A53" s="150" t="s">
        <v>1004</v>
      </c>
      <c r="C53" s="148"/>
      <c r="D53" s="148"/>
      <c r="E53" s="148"/>
      <c r="F53" s="148"/>
      <c r="G53" s="148"/>
      <c r="H53" s="148"/>
      <c r="I53" s="148"/>
      <c r="J53" s="148"/>
      <c r="K53" s="148"/>
      <c r="L53" s="148"/>
      <c r="M53" s="148"/>
      <c r="N53" s="148"/>
      <c r="O53" s="148"/>
      <c r="P53" s="148"/>
      <c r="Q53" s="148"/>
      <c r="R53" s="148"/>
      <c r="S53" s="148"/>
      <c r="T53" s="148"/>
      <c r="U53" s="148"/>
      <c r="V53" s="148"/>
      <c r="W53" s="148"/>
      <c r="X53" s="148"/>
      <c r="Y53" s="148"/>
      <c r="Z53" s="148"/>
      <c r="AA53" s="148"/>
      <c r="AB53" s="148"/>
      <c r="AC53" s="148"/>
      <c r="AD53" s="148"/>
      <c r="AE53" s="148"/>
      <c r="AF53" s="148"/>
      <c r="AG53" s="148"/>
      <c r="AH53" s="148"/>
      <c r="AI53" s="148"/>
      <c r="AJ53" s="148"/>
      <c r="AK53" s="148"/>
      <c r="AL53" s="148"/>
      <c r="AM53" s="148"/>
      <c r="AN53" s="148"/>
      <c r="AO53" s="20"/>
      <c r="AP53" s="20"/>
      <c r="AQ53" s="20"/>
      <c r="AR53" s="20"/>
    </row>
    <row r="54" spans="1:44" ht="18">
      <c r="A54" s="149" t="s">
        <v>977</v>
      </c>
      <c r="B54" s="150" t="s">
        <v>148</v>
      </c>
      <c r="C54" s="148"/>
      <c r="D54" s="148"/>
      <c r="E54" s="148"/>
      <c r="F54" s="148"/>
      <c r="G54" s="148"/>
      <c r="H54" s="148"/>
      <c r="I54" s="148"/>
      <c r="J54" s="148"/>
      <c r="K54" s="148"/>
      <c r="L54" s="148"/>
      <c r="M54" s="148"/>
      <c r="N54" s="148"/>
      <c r="O54" s="148"/>
      <c r="P54" s="148"/>
      <c r="Q54" s="148"/>
      <c r="R54" s="148"/>
      <c r="S54" s="148"/>
      <c r="T54" s="148"/>
      <c r="U54" s="148"/>
      <c r="V54" s="148"/>
      <c r="W54" s="148"/>
      <c r="X54" s="148"/>
      <c r="Y54" s="148"/>
      <c r="Z54" s="148"/>
      <c r="AA54" s="148"/>
      <c r="AB54" s="148"/>
      <c r="AC54" s="148"/>
      <c r="AD54" s="148"/>
      <c r="AE54" s="148"/>
      <c r="AF54" s="148"/>
      <c r="AG54" s="148"/>
      <c r="AH54" s="148"/>
      <c r="AI54" s="148"/>
      <c r="AJ54" s="148"/>
      <c r="AK54" s="148"/>
      <c r="AL54" s="148"/>
      <c r="AM54" s="148"/>
      <c r="AN54" s="148"/>
      <c r="AO54" s="20"/>
      <c r="AP54" s="20"/>
      <c r="AQ54" s="20"/>
      <c r="AR54" s="20"/>
    </row>
    <row r="55" spans="1:44" ht="18">
      <c r="A55" s="148"/>
      <c r="B55" s="149" t="s">
        <v>1005</v>
      </c>
      <c r="C55" s="148"/>
      <c r="D55" s="148"/>
      <c r="E55" s="148"/>
      <c r="F55" s="148"/>
      <c r="G55" s="148"/>
      <c r="H55" s="148"/>
      <c r="I55" s="148"/>
      <c r="J55" s="148"/>
      <c r="K55" s="148"/>
      <c r="L55" s="148"/>
      <c r="M55" s="148"/>
      <c r="N55" s="148"/>
      <c r="O55" s="148"/>
      <c r="P55" s="148"/>
      <c r="Q55" s="148"/>
      <c r="R55" s="148"/>
      <c r="S55" s="148"/>
      <c r="T55" s="148"/>
      <c r="U55" s="148"/>
      <c r="V55" s="148"/>
      <c r="W55" s="148"/>
      <c r="X55" s="148"/>
      <c r="Y55" s="148"/>
      <c r="Z55" s="148"/>
      <c r="AA55" s="148"/>
      <c r="AB55" s="148"/>
      <c r="AC55" s="148"/>
      <c r="AD55" s="148"/>
      <c r="AE55" s="148"/>
      <c r="AF55" s="148"/>
      <c r="AG55" s="148"/>
      <c r="AH55" s="148"/>
      <c r="AI55" s="148"/>
      <c r="AJ55" s="148"/>
      <c r="AK55" s="148"/>
      <c r="AL55" s="148"/>
      <c r="AM55" s="148"/>
      <c r="AN55" s="148"/>
      <c r="AO55" s="20"/>
      <c r="AP55" s="20"/>
      <c r="AQ55" s="20"/>
      <c r="AR55" s="20"/>
    </row>
    <row r="56" spans="1:44" ht="18">
      <c r="A56" s="149" t="s">
        <v>979</v>
      </c>
      <c r="B56" s="149" t="s">
        <v>909</v>
      </c>
      <c r="C56" s="148"/>
      <c r="D56" s="148"/>
      <c r="E56" s="148"/>
      <c r="F56" s="148"/>
      <c r="G56" s="148"/>
      <c r="H56" s="148"/>
      <c r="I56" s="148"/>
      <c r="J56" s="148"/>
      <c r="K56" s="148"/>
      <c r="L56" s="148"/>
      <c r="M56" s="148"/>
      <c r="N56" s="148"/>
      <c r="O56" s="148"/>
      <c r="P56" s="148"/>
      <c r="Q56" s="148"/>
      <c r="R56" s="148"/>
      <c r="S56" s="148"/>
      <c r="T56" s="148"/>
      <c r="U56" s="148"/>
      <c r="V56" s="148"/>
      <c r="W56" s="148"/>
      <c r="X56" s="148"/>
      <c r="Y56" s="148"/>
      <c r="Z56" s="148"/>
      <c r="AA56" s="148"/>
      <c r="AB56" s="148"/>
      <c r="AC56" s="148"/>
      <c r="AD56" s="148"/>
      <c r="AE56" s="148"/>
      <c r="AF56" s="148"/>
      <c r="AG56" s="148"/>
      <c r="AH56" s="148"/>
      <c r="AI56" s="148"/>
      <c r="AJ56" s="148"/>
      <c r="AK56" s="148"/>
      <c r="AL56" s="148"/>
      <c r="AM56" s="148"/>
      <c r="AN56" s="148"/>
      <c r="AO56" s="20"/>
      <c r="AP56" s="20"/>
      <c r="AQ56" s="20"/>
      <c r="AR56" s="20"/>
    </row>
    <row r="57" spans="1:44" ht="18">
      <c r="A57" s="150"/>
      <c r="B57" s="149" t="s">
        <v>1016</v>
      </c>
      <c r="C57" s="148"/>
      <c r="D57" s="148"/>
      <c r="E57" s="148"/>
      <c r="F57" s="148"/>
      <c r="G57" s="148"/>
      <c r="H57" s="148"/>
      <c r="I57" s="148"/>
      <c r="J57" s="148"/>
      <c r="K57" s="148"/>
      <c r="L57" s="148"/>
      <c r="M57" s="148"/>
      <c r="N57" s="148"/>
      <c r="O57" s="148"/>
      <c r="P57" s="148"/>
      <c r="Q57" s="148"/>
      <c r="R57" s="148"/>
      <c r="S57" s="148"/>
      <c r="T57" s="148"/>
      <c r="U57" s="148"/>
      <c r="V57" s="148"/>
      <c r="W57" s="148"/>
      <c r="X57" s="148"/>
      <c r="Y57" s="148"/>
      <c r="Z57" s="148"/>
      <c r="AA57" s="148"/>
      <c r="AB57" s="148"/>
      <c r="AC57" s="148"/>
      <c r="AD57" s="148"/>
      <c r="AE57" s="148"/>
      <c r="AF57" s="148"/>
      <c r="AG57" s="148"/>
      <c r="AH57" s="148"/>
      <c r="AI57" s="148"/>
      <c r="AJ57" s="148"/>
      <c r="AK57" s="148"/>
      <c r="AL57" s="148"/>
      <c r="AM57" s="148"/>
      <c r="AN57" s="148"/>
      <c r="AO57" s="20"/>
      <c r="AP57" s="20"/>
      <c r="AQ57" s="20"/>
      <c r="AR57" s="20"/>
    </row>
    <row r="58" spans="1:44" ht="18">
      <c r="B58" s="149" t="s">
        <v>1017</v>
      </c>
      <c r="C58" s="148"/>
      <c r="D58" s="148"/>
      <c r="E58" s="148"/>
      <c r="F58" s="148"/>
      <c r="G58" s="148"/>
      <c r="H58" s="148"/>
      <c r="I58" s="148"/>
      <c r="J58" s="148"/>
      <c r="K58" s="148"/>
      <c r="L58" s="148"/>
      <c r="M58" s="148"/>
      <c r="N58" s="148"/>
      <c r="O58" s="148"/>
      <c r="P58" s="148"/>
      <c r="Q58" s="148"/>
      <c r="R58" s="148"/>
      <c r="S58" s="148"/>
      <c r="T58" s="148"/>
      <c r="U58" s="148"/>
      <c r="V58" s="148"/>
      <c r="W58" s="148"/>
      <c r="X58" s="148"/>
      <c r="Y58" s="148"/>
      <c r="Z58" s="148"/>
      <c r="AA58" s="148"/>
      <c r="AB58" s="148"/>
      <c r="AC58" s="148"/>
      <c r="AD58" s="148"/>
      <c r="AE58" s="148"/>
      <c r="AF58" s="148"/>
      <c r="AG58" s="148"/>
      <c r="AH58" s="148"/>
      <c r="AI58" s="148"/>
      <c r="AJ58" s="148"/>
      <c r="AK58" s="148"/>
      <c r="AL58" s="148"/>
      <c r="AM58" s="148"/>
      <c r="AN58" s="148"/>
      <c r="AO58" s="20"/>
      <c r="AP58" s="20"/>
      <c r="AQ58" s="20"/>
      <c r="AR58" s="20"/>
    </row>
    <row r="59" spans="1:44" ht="18">
      <c r="A59" s="149" t="s">
        <v>984</v>
      </c>
      <c r="B59" s="149" t="s">
        <v>1015</v>
      </c>
      <c r="C59" s="148"/>
      <c r="D59" s="148"/>
      <c r="E59" s="148"/>
      <c r="F59" s="148"/>
      <c r="G59" s="148"/>
      <c r="H59" s="148"/>
      <c r="I59" s="148"/>
      <c r="J59" s="148"/>
      <c r="K59" s="148"/>
      <c r="L59" s="148"/>
      <c r="M59" s="148"/>
      <c r="N59" s="148"/>
      <c r="O59" s="148"/>
      <c r="P59" s="148"/>
      <c r="Q59" s="148"/>
      <c r="R59" s="148"/>
      <c r="S59" s="148"/>
      <c r="T59" s="148"/>
      <c r="U59" s="148"/>
      <c r="V59" s="148"/>
      <c r="W59" s="148"/>
      <c r="X59" s="148"/>
      <c r="Y59" s="148"/>
      <c r="Z59" s="148"/>
      <c r="AA59" s="148"/>
      <c r="AB59" s="148"/>
      <c r="AC59" s="148"/>
      <c r="AD59" s="148"/>
      <c r="AE59" s="148"/>
      <c r="AF59" s="148"/>
      <c r="AG59" s="148"/>
      <c r="AH59" s="148"/>
      <c r="AI59" s="148"/>
      <c r="AJ59" s="148"/>
      <c r="AK59" s="148"/>
      <c r="AL59" s="148"/>
      <c r="AM59" s="148"/>
      <c r="AN59" s="148"/>
      <c r="AO59" s="20"/>
      <c r="AP59" s="20"/>
      <c r="AQ59" s="20"/>
      <c r="AR59" s="20"/>
    </row>
    <row r="60" spans="1:44" ht="18">
      <c r="A60" s="150"/>
      <c r="B60" s="149" t="s">
        <v>1018</v>
      </c>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20"/>
      <c r="AP60" s="20"/>
      <c r="AQ60" s="20"/>
      <c r="AR60" s="20"/>
    </row>
    <row r="61" spans="1:44" ht="18">
      <c r="A61" s="150" t="s">
        <v>1020</v>
      </c>
      <c r="B61" s="149"/>
      <c r="C61" s="148"/>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8"/>
      <c r="AC61" s="148"/>
      <c r="AD61" s="148"/>
      <c r="AE61" s="148"/>
      <c r="AF61" s="148"/>
      <c r="AG61" s="148"/>
      <c r="AH61" s="148"/>
      <c r="AI61" s="148"/>
      <c r="AJ61" s="148"/>
      <c r="AK61" s="148"/>
      <c r="AL61" s="148"/>
      <c r="AM61" s="148"/>
      <c r="AN61" s="148"/>
      <c r="AO61" s="20"/>
      <c r="AP61" s="20"/>
      <c r="AQ61" s="20"/>
      <c r="AR61" s="20"/>
    </row>
    <row r="62" spans="1:44" ht="18">
      <c r="A62" s="149" t="s">
        <v>977</v>
      </c>
      <c r="B62" s="149" t="s">
        <v>1019</v>
      </c>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20"/>
      <c r="AP62" s="20"/>
      <c r="AQ62" s="20"/>
      <c r="AR62" s="20"/>
    </row>
    <row r="63" spans="1:44" ht="18">
      <c r="A63" s="150"/>
      <c r="B63" s="149" t="s">
        <v>1021</v>
      </c>
      <c r="C63" s="148"/>
      <c r="D63" s="148"/>
      <c r="E63" s="148"/>
      <c r="F63" s="148"/>
      <c r="G63" s="148"/>
      <c r="H63" s="148"/>
      <c r="I63" s="148"/>
      <c r="J63" s="148"/>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20"/>
      <c r="AP63" s="20"/>
      <c r="AQ63" s="20"/>
      <c r="AR63" s="20"/>
    </row>
    <row r="64" spans="1:44" ht="18">
      <c r="A64" s="149" t="s">
        <v>979</v>
      </c>
      <c r="B64" s="149" t="s">
        <v>1022</v>
      </c>
      <c r="C64" s="148"/>
      <c r="D64" s="148"/>
      <c r="E64" s="148"/>
      <c r="F64" s="148"/>
      <c r="G64" s="148"/>
      <c r="H64" s="148"/>
      <c r="I64" s="148"/>
      <c r="J64" s="148"/>
      <c r="K64" s="148"/>
      <c r="L64" s="148"/>
      <c r="M64" s="148"/>
      <c r="N64" s="148"/>
      <c r="O64" s="148"/>
      <c r="P64" s="148"/>
      <c r="Q64" s="148"/>
      <c r="R64" s="148"/>
      <c r="S64" s="148"/>
      <c r="T64" s="148"/>
      <c r="U64" s="148"/>
      <c r="V64" s="148"/>
      <c r="W64" s="148"/>
      <c r="X64" s="148"/>
      <c r="Y64" s="148"/>
      <c r="Z64" s="148"/>
      <c r="AA64" s="148"/>
      <c r="AB64" s="148"/>
      <c r="AC64" s="148"/>
      <c r="AD64" s="148"/>
      <c r="AE64" s="148"/>
      <c r="AF64" s="148"/>
      <c r="AG64" s="148"/>
      <c r="AH64" s="148"/>
      <c r="AI64" s="148"/>
      <c r="AJ64" s="148"/>
      <c r="AK64" s="148"/>
      <c r="AL64" s="148"/>
      <c r="AM64" s="148"/>
      <c r="AN64" s="148"/>
      <c r="AO64" s="20"/>
      <c r="AP64" s="20"/>
      <c r="AQ64" s="20"/>
      <c r="AR64" s="20"/>
    </row>
    <row r="65" spans="1:44" ht="18">
      <c r="A65" s="148"/>
      <c r="B65" s="149" t="s">
        <v>1023</v>
      </c>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8"/>
      <c r="AF65" s="148"/>
      <c r="AG65" s="148"/>
      <c r="AH65" s="148"/>
      <c r="AI65" s="148"/>
      <c r="AJ65" s="148"/>
      <c r="AK65" s="148"/>
      <c r="AL65" s="148"/>
      <c r="AM65" s="148"/>
      <c r="AN65" s="148"/>
      <c r="AO65" s="20"/>
      <c r="AP65" s="20"/>
      <c r="AQ65" s="20"/>
      <c r="AR65" s="20"/>
    </row>
    <row r="66" spans="1:44" ht="18">
      <c r="A66" s="150" t="s">
        <v>1024</v>
      </c>
      <c r="B66" s="148"/>
      <c r="C66" s="148"/>
      <c r="D66" s="148"/>
      <c r="E66" s="148"/>
      <c r="F66" s="148"/>
      <c r="G66" s="148"/>
      <c r="H66" s="148"/>
      <c r="I66" s="148"/>
      <c r="J66" s="148"/>
      <c r="K66" s="148"/>
      <c r="L66" s="148"/>
      <c r="M66" s="148"/>
      <c r="N66" s="148"/>
      <c r="O66" s="148"/>
      <c r="P66" s="148"/>
      <c r="Q66" s="148"/>
      <c r="R66" s="148"/>
      <c r="S66" s="148"/>
      <c r="T66" s="148"/>
      <c r="U66" s="148"/>
      <c r="V66" s="148"/>
      <c r="W66" s="148"/>
      <c r="X66" s="148"/>
      <c r="Y66" s="148"/>
      <c r="Z66" s="148"/>
      <c r="AA66" s="148"/>
      <c r="AB66" s="148"/>
      <c r="AC66" s="148"/>
      <c r="AD66" s="148"/>
      <c r="AE66" s="148"/>
      <c r="AF66" s="148"/>
      <c r="AG66" s="148"/>
      <c r="AH66" s="148"/>
      <c r="AI66" s="148"/>
      <c r="AJ66" s="148"/>
      <c r="AK66" s="148"/>
      <c r="AL66" s="148"/>
      <c r="AM66" s="148"/>
      <c r="AN66" s="148"/>
      <c r="AO66" s="20"/>
      <c r="AP66" s="20"/>
      <c r="AQ66" s="20"/>
      <c r="AR66" s="20"/>
    </row>
    <row r="67" spans="1:44" ht="18">
      <c r="A67" s="149" t="s">
        <v>977</v>
      </c>
      <c r="B67" s="149" t="s">
        <v>1025</v>
      </c>
      <c r="C67" s="148"/>
      <c r="D67" s="148"/>
      <c r="E67" s="148"/>
      <c r="F67" s="148"/>
      <c r="G67" s="148"/>
      <c r="H67" s="148"/>
      <c r="I67" s="148"/>
      <c r="J67" s="148"/>
      <c r="K67" s="148"/>
      <c r="L67" s="148"/>
      <c r="M67" s="148"/>
      <c r="N67" s="148"/>
      <c r="O67" s="148"/>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8"/>
      <c r="AM67" s="148"/>
      <c r="AN67" s="148"/>
      <c r="AO67" s="20"/>
      <c r="AP67" s="20"/>
      <c r="AQ67" s="20"/>
      <c r="AR67" s="20"/>
    </row>
    <row r="68" spans="1:44" ht="18">
      <c r="A68" s="149"/>
      <c r="B68" s="149" t="s">
        <v>1026</v>
      </c>
      <c r="C68" s="148"/>
      <c r="D68" s="148"/>
      <c r="E68" s="148"/>
      <c r="F68" s="148"/>
      <c r="G68" s="148"/>
      <c r="H68" s="148"/>
      <c r="I68" s="148"/>
      <c r="J68" s="148"/>
      <c r="K68" s="148"/>
      <c r="L68" s="148"/>
      <c r="M68" s="148"/>
      <c r="N68" s="148"/>
      <c r="O68" s="148"/>
      <c r="P68" s="148"/>
      <c r="Q68" s="148"/>
      <c r="R68" s="148"/>
      <c r="S68" s="148"/>
      <c r="T68" s="148"/>
      <c r="U68" s="148"/>
      <c r="V68" s="148"/>
      <c r="W68" s="148"/>
      <c r="X68" s="148"/>
      <c r="Y68" s="148"/>
      <c r="Z68" s="148"/>
      <c r="AA68" s="148"/>
      <c r="AB68" s="148"/>
      <c r="AC68" s="148"/>
      <c r="AD68" s="148"/>
      <c r="AE68" s="148"/>
      <c r="AF68" s="148"/>
      <c r="AG68" s="148"/>
      <c r="AH68" s="148"/>
      <c r="AI68" s="148"/>
      <c r="AJ68" s="148"/>
      <c r="AK68" s="148"/>
      <c r="AL68" s="148"/>
      <c r="AM68" s="148"/>
      <c r="AN68" s="148"/>
      <c r="AO68" s="20"/>
      <c r="AP68" s="20"/>
      <c r="AQ68" s="20"/>
      <c r="AR68" s="20"/>
    </row>
    <row r="69" spans="1:44" ht="18">
      <c r="A69" s="149"/>
      <c r="B69" s="149" t="s">
        <v>1027</v>
      </c>
      <c r="C69" s="148"/>
      <c r="D69" s="148"/>
      <c r="E69" s="148"/>
      <c r="F69" s="148"/>
      <c r="G69" s="148"/>
      <c r="H69" s="148"/>
      <c r="I69" s="148"/>
      <c r="J69" s="148"/>
      <c r="K69" s="148"/>
      <c r="L69" s="148"/>
      <c r="M69" s="148"/>
      <c r="N69" s="148"/>
      <c r="O69" s="148"/>
      <c r="P69" s="148"/>
      <c r="Q69" s="148"/>
      <c r="R69" s="148"/>
      <c r="S69" s="148"/>
      <c r="T69" s="148"/>
      <c r="U69" s="148"/>
      <c r="V69" s="148"/>
      <c r="W69" s="148"/>
      <c r="X69" s="148"/>
      <c r="Y69" s="148"/>
      <c r="Z69" s="148"/>
      <c r="AA69" s="148"/>
      <c r="AB69" s="148"/>
      <c r="AC69" s="148"/>
      <c r="AD69" s="148"/>
      <c r="AE69" s="148"/>
      <c r="AF69" s="148"/>
      <c r="AG69" s="148"/>
      <c r="AH69" s="148"/>
      <c r="AI69" s="148"/>
      <c r="AJ69" s="148"/>
      <c r="AK69" s="148"/>
      <c r="AL69" s="148"/>
      <c r="AM69" s="148"/>
      <c r="AN69" s="148"/>
      <c r="AO69" s="20"/>
      <c r="AP69" s="20"/>
      <c r="AQ69" s="20"/>
      <c r="AR69" s="20"/>
    </row>
    <row r="70" spans="1:44" ht="18">
      <c r="A70" s="149"/>
      <c r="B70" s="149" t="s">
        <v>1028</v>
      </c>
      <c r="C70" s="148"/>
      <c r="D70" s="148"/>
      <c r="E70" s="148"/>
      <c r="F70" s="148"/>
      <c r="G70" s="148"/>
      <c r="H70" s="148"/>
      <c r="I70" s="148"/>
      <c r="J70" s="148"/>
      <c r="K70" s="148"/>
      <c r="L70" s="148"/>
      <c r="M70" s="148"/>
      <c r="N70" s="148"/>
      <c r="O70" s="148"/>
      <c r="P70" s="148"/>
      <c r="Q70" s="148"/>
      <c r="R70" s="148"/>
      <c r="S70" s="148"/>
      <c r="T70" s="148"/>
      <c r="U70" s="148"/>
      <c r="V70" s="148"/>
      <c r="W70" s="148"/>
      <c r="X70" s="148"/>
      <c r="Y70" s="148"/>
      <c r="Z70" s="148"/>
      <c r="AA70" s="148"/>
      <c r="AB70" s="148"/>
      <c r="AC70" s="148"/>
      <c r="AD70" s="148"/>
      <c r="AE70" s="148"/>
      <c r="AF70" s="148"/>
      <c r="AG70" s="148"/>
      <c r="AH70" s="148"/>
      <c r="AI70" s="148"/>
      <c r="AJ70" s="148"/>
      <c r="AK70" s="148"/>
      <c r="AL70" s="148"/>
      <c r="AM70" s="148"/>
      <c r="AN70" s="148"/>
      <c r="AO70" s="20"/>
      <c r="AP70" s="20"/>
      <c r="AQ70" s="20"/>
      <c r="AR70" s="20"/>
    </row>
    <row r="71" spans="1:44" ht="18">
      <c r="A71" s="149" t="s">
        <v>979</v>
      </c>
      <c r="B71" s="149" t="s">
        <v>1029</v>
      </c>
      <c r="C71" s="148"/>
      <c r="D71" s="148"/>
      <c r="E71" s="148"/>
      <c r="F71" s="148"/>
      <c r="G71" s="148"/>
      <c r="H71" s="148"/>
      <c r="I71" s="148"/>
      <c r="J71" s="148"/>
      <c r="K71" s="148"/>
      <c r="L71" s="148"/>
      <c r="M71" s="148"/>
      <c r="N71" s="148"/>
      <c r="O71" s="148"/>
      <c r="P71" s="148"/>
      <c r="Q71" s="148"/>
      <c r="R71" s="148"/>
      <c r="S71" s="148"/>
      <c r="T71" s="148"/>
      <c r="U71" s="148"/>
      <c r="V71" s="148"/>
      <c r="W71" s="148"/>
      <c r="X71" s="148"/>
      <c r="Y71" s="148"/>
      <c r="Z71" s="148"/>
      <c r="AA71" s="148"/>
      <c r="AB71" s="148"/>
      <c r="AC71" s="148"/>
      <c r="AD71" s="148"/>
      <c r="AE71" s="148"/>
      <c r="AF71" s="148"/>
      <c r="AG71" s="148"/>
      <c r="AH71" s="148"/>
      <c r="AI71" s="148"/>
      <c r="AJ71" s="148"/>
      <c r="AK71" s="148"/>
      <c r="AL71" s="148"/>
      <c r="AM71" s="148"/>
      <c r="AN71" s="148"/>
      <c r="AO71" s="20"/>
      <c r="AP71" s="20"/>
      <c r="AQ71" s="20"/>
      <c r="AR71" s="20"/>
    </row>
    <row r="72" spans="1:44" ht="18">
      <c r="A72" s="149"/>
      <c r="B72" s="149" t="s">
        <v>1030</v>
      </c>
      <c r="C72" s="148"/>
      <c r="D72" s="148"/>
      <c r="E72" s="148"/>
      <c r="F72" s="148"/>
      <c r="G72" s="148"/>
      <c r="H72" s="148"/>
      <c r="I72" s="148"/>
      <c r="J72" s="148"/>
      <c r="K72" s="148"/>
      <c r="L72" s="148"/>
      <c r="M72" s="148"/>
      <c r="N72" s="148"/>
      <c r="O72" s="148"/>
      <c r="P72" s="148"/>
      <c r="Q72" s="148"/>
      <c r="R72" s="148"/>
      <c r="S72" s="148"/>
      <c r="T72" s="148"/>
      <c r="U72" s="148"/>
      <c r="V72" s="148"/>
      <c r="W72" s="148"/>
      <c r="X72" s="148"/>
      <c r="Y72" s="148"/>
      <c r="Z72" s="148"/>
      <c r="AA72" s="148"/>
      <c r="AB72" s="148"/>
      <c r="AC72" s="148"/>
      <c r="AD72" s="148"/>
      <c r="AE72" s="148"/>
      <c r="AF72" s="148"/>
      <c r="AG72" s="148"/>
      <c r="AH72" s="148"/>
      <c r="AI72" s="148"/>
      <c r="AJ72" s="148"/>
      <c r="AK72" s="148"/>
      <c r="AL72" s="148"/>
      <c r="AM72" s="148"/>
      <c r="AN72" s="148"/>
      <c r="AO72" s="20"/>
      <c r="AP72" s="20"/>
      <c r="AQ72" s="20"/>
      <c r="AR72" s="20"/>
    </row>
    <row r="73" spans="1:44">
      <c r="B73" s="2" t="s">
        <v>1031</v>
      </c>
      <c r="C73" s="119"/>
      <c r="D73" s="119"/>
      <c r="E73" s="119"/>
      <c r="F73" s="119"/>
      <c r="G73" s="119"/>
      <c r="H73" s="119"/>
      <c r="I73" s="119"/>
      <c r="J73" s="119"/>
      <c r="K73" s="119"/>
      <c r="L73" s="119"/>
      <c r="M73" s="119"/>
      <c r="N73" s="119"/>
      <c r="O73" s="119"/>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row>
    <row r="74" spans="1:44">
      <c r="B74" s="2" t="s">
        <v>1032</v>
      </c>
      <c r="C74" s="119"/>
      <c r="D74" s="119"/>
      <c r="E74" s="119"/>
      <c r="F74" s="119"/>
      <c r="G74" s="119"/>
      <c r="H74" s="119"/>
      <c r="I74" s="119"/>
      <c r="J74" s="119"/>
      <c r="K74" s="119"/>
      <c r="L74" s="119"/>
      <c r="M74" s="119"/>
      <c r="N74" s="119"/>
      <c r="O74" s="119"/>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row>
    <row r="75" spans="1:44">
      <c r="C75" s="119"/>
      <c r="D75" s="119"/>
      <c r="E75" s="119"/>
      <c r="F75" s="119"/>
      <c r="G75" s="119"/>
      <c r="H75" s="119"/>
      <c r="I75" s="119"/>
      <c r="J75" s="119"/>
      <c r="K75" s="119"/>
      <c r="L75" s="119"/>
      <c r="M75" s="119"/>
      <c r="N75" s="119"/>
      <c r="O75" s="119"/>
      <c r="S75" s="119"/>
      <c r="T75" s="119"/>
      <c r="U75" s="119"/>
      <c r="V75" s="119"/>
      <c r="W75" s="119"/>
      <c r="X75" s="119"/>
      <c r="Y75" s="119"/>
      <c r="Z75" s="119"/>
      <c r="AA75" s="119"/>
      <c r="AB75" s="119"/>
      <c r="AC75" s="119"/>
      <c r="AD75" s="119"/>
      <c r="AE75" s="119"/>
      <c r="AF75" s="119"/>
      <c r="AG75" s="119"/>
      <c r="AH75" s="119"/>
      <c r="AI75" s="119"/>
      <c r="AJ75" s="119"/>
      <c r="AK75" s="119"/>
      <c r="AL75" s="119"/>
      <c r="AM75" s="119"/>
      <c r="AN75" s="119"/>
      <c r="AO75" s="119"/>
      <c r="AP75" s="119"/>
      <c r="AQ75" s="119"/>
      <c r="AR75" s="119"/>
    </row>
    <row r="76" spans="1:44" ht="13.95" customHeight="1">
      <c r="A76" s="120" t="s">
        <v>302</v>
      </c>
      <c r="B76" s="120"/>
      <c r="C76" s="43">
        <v>390</v>
      </c>
    </row>
    <row r="77" spans="1:44" ht="13.95" customHeight="1">
      <c r="A77" s="120" t="s">
        <v>904</v>
      </c>
      <c r="B77" s="120"/>
      <c r="C77" s="43"/>
    </row>
    <row r="78" spans="1:44" ht="13.95" customHeight="1">
      <c r="A78" s="120" t="s">
        <v>905</v>
      </c>
      <c r="B78" s="120"/>
      <c r="C78" s="120"/>
    </row>
    <row r="79" spans="1:44" ht="13.95" customHeight="1">
      <c r="A79" s="120"/>
      <c r="B79" s="120"/>
      <c r="C79" s="120"/>
    </row>
    <row r="80" spans="1:44">
      <c r="A80" s="21" t="s">
        <v>281</v>
      </c>
      <c r="B80" s="21"/>
      <c r="C80" s="21"/>
      <c r="E80" s="32">
        <v>45442</v>
      </c>
      <c r="F80" s="32">
        <v>45446</v>
      </c>
      <c r="G80" s="32">
        <v>45449</v>
      </c>
      <c r="H80" s="32">
        <v>45450</v>
      </c>
      <c r="I80" s="32">
        <v>45453</v>
      </c>
      <c r="J80" s="32">
        <v>45454</v>
      </c>
      <c r="K80" s="32">
        <v>45523</v>
      </c>
      <c r="L80" s="32">
        <v>45600</v>
      </c>
      <c r="M80" s="42">
        <v>45699</v>
      </c>
    </row>
    <row r="81" spans="1:21" ht="13.95" customHeight="1">
      <c r="A81" s="120" t="s">
        <v>282</v>
      </c>
      <c r="B81" s="120"/>
      <c r="C81" s="120"/>
      <c r="D81" s="2" t="s">
        <v>283</v>
      </c>
      <c r="E81" s="2">
        <v>290</v>
      </c>
      <c r="F81" s="2">
        <v>318</v>
      </c>
      <c r="G81" s="2">
        <v>273</v>
      </c>
      <c r="H81" s="2">
        <v>283</v>
      </c>
      <c r="I81" s="2">
        <v>282</v>
      </c>
      <c r="J81" s="2">
        <v>286</v>
      </c>
      <c r="K81" s="2">
        <v>302.14999999999998</v>
      </c>
      <c r="L81" s="2">
        <v>281</v>
      </c>
      <c r="M81" s="2">
        <v>265</v>
      </c>
      <c r="U81" s="2" t="s">
        <v>284</v>
      </c>
    </row>
    <row r="82" spans="1:21" ht="13.95" customHeight="1">
      <c r="A82" s="120" t="s">
        <v>285</v>
      </c>
      <c r="B82" s="120"/>
      <c r="C82" s="120"/>
    </row>
    <row r="83" spans="1:21" ht="13.95" customHeight="1">
      <c r="A83" s="120" t="s">
        <v>286</v>
      </c>
      <c r="B83" s="120"/>
      <c r="C83" s="120"/>
    </row>
    <row r="84" spans="1:21" ht="13.95" customHeight="1">
      <c r="A84" s="120" t="s">
        <v>287</v>
      </c>
      <c r="B84" s="120"/>
      <c r="C84" s="120"/>
    </row>
    <row r="85" spans="1:21" ht="13.95" customHeight="1">
      <c r="A85" s="120" t="s">
        <v>288</v>
      </c>
      <c r="B85" s="120"/>
      <c r="C85" s="120"/>
    </row>
    <row r="86" spans="1:21">
      <c r="A86" s="120" t="s">
        <v>289</v>
      </c>
      <c r="B86" s="120"/>
      <c r="C86" s="21"/>
      <c r="E86" s="32"/>
      <c r="F86" s="32"/>
      <c r="G86" s="32"/>
      <c r="H86" s="32"/>
      <c r="I86" s="32"/>
      <c r="J86" s="32"/>
      <c r="K86" s="32"/>
      <c r="L86" s="32"/>
      <c r="M86" s="2">
        <v>30</v>
      </c>
    </row>
    <row r="87" spans="1:21">
      <c r="A87" s="120" t="s">
        <v>290</v>
      </c>
      <c r="B87" s="120"/>
      <c r="C87" s="21"/>
      <c r="E87" s="32"/>
      <c r="F87" s="32"/>
      <c r="G87" s="32"/>
      <c r="H87" s="32"/>
      <c r="I87" s="32"/>
      <c r="J87" s="32"/>
      <c r="K87" s="32"/>
      <c r="L87" s="32"/>
    </row>
    <row r="88" spans="1:21">
      <c r="A88" s="120" t="s">
        <v>291</v>
      </c>
      <c r="B88" s="120"/>
      <c r="C88" s="21"/>
      <c r="E88" s="32"/>
      <c r="F88" s="32"/>
      <c r="G88" s="32"/>
      <c r="H88" s="32"/>
      <c r="I88" s="32"/>
      <c r="J88" s="32"/>
      <c r="K88" s="32"/>
      <c r="L88" s="32"/>
    </row>
    <row r="89" spans="1:21">
      <c r="A89" s="120" t="s">
        <v>245</v>
      </c>
      <c r="B89" s="120"/>
      <c r="C89" s="120"/>
      <c r="D89" s="2" t="s">
        <v>292</v>
      </c>
      <c r="E89" s="2">
        <v>275</v>
      </c>
      <c r="F89" s="2">
        <v>288</v>
      </c>
      <c r="G89" s="2">
        <v>249</v>
      </c>
      <c r="H89" s="2">
        <v>250</v>
      </c>
      <c r="I89" s="2">
        <v>251</v>
      </c>
      <c r="J89" s="2">
        <v>271</v>
      </c>
      <c r="K89" s="2">
        <v>269</v>
      </c>
      <c r="L89" s="2">
        <v>211</v>
      </c>
      <c r="M89" s="2">
        <v>179.75</v>
      </c>
      <c r="U89" s="2" t="s">
        <v>293</v>
      </c>
    </row>
    <row r="90" spans="1:21">
      <c r="A90" s="120" t="s">
        <v>294</v>
      </c>
      <c r="B90" s="120"/>
      <c r="C90" s="120"/>
      <c r="N90" s="2">
        <v>1527</v>
      </c>
    </row>
    <row r="91" spans="1:21">
      <c r="A91" s="120" t="s">
        <v>295</v>
      </c>
      <c r="B91" s="120"/>
      <c r="C91" s="120"/>
      <c r="D91" s="2">
        <v>220</v>
      </c>
      <c r="E91" s="2">
        <v>348</v>
      </c>
      <c r="F91" s="2">
        <v>356</v>
      </c>
      <c r="G91" s="2">
        <v>349</v>
      </c>
      <c r="H91" s="2">
        <v>353</v>
      </c>
      <c r="I91" s="2">
        <v>354</v>
      </c>
      <c r="J91" s="2">
        <v>350</v>
      </c>
      <c r="K91" s="2">
        <v>331.25</v>
      </c>
      <c r="L91" s="2">
        <v>320</v>
      </c>
      <c r="M91" s="2">
        <v>235.94</v>
      </c>
      <c r="N91" s="2">
        <v>325</v>
      </c>
      <c r="U91" s="2" t="s">
        <v>296</v>
      </c>
    </row>
    <row r="92" spans="1:21">
      <c r="A92" s="120" t="s">
        <v>133</v>
      </c>
      <c r="B92" s="120"/>
      <c r="C92" s="120"/>
      <c r="D92" s="2" t="s">
        <v>297</v>
      </c>
      <c r="E92" s="2">
        <v>178.25</v>
      </c>
      <c r="F92" s="2">
        <v>190</v>
      </c>
      <c r="G92" s="2">
        <v>173</v>
      </c>
      <c r="H92" s="2">
        <v>173</v>
      </c>
      <c r="I92" s="2">
        <v>175</v>
      </c>
      <c r="J92" s="2">
        <v>176</v>
      </c>
      <c r="K92" s="2">
        <v>180</v>
      </c>
      <c r="L92" s="2">
        <v>152</v>
      </c>
      <c r="M92" s="2">
        <v>126.25</v>
      </c>
      <c r="U92" s="2" t="s">
        <v>298</v>
      </c>
    </row>
    <row r="93" spans="1:21">
      <c r="A93" s="120" t="s">
        <v>299</v>
      </c>
      <c r="B93" s="120"/>
      <c r="C93" s="120"/>
      <c r="L93" s="2">
        <v>212</v>
      </c>
      <c r="M93" s="2">
        <v>168</v>
      </c>
      <c r="U93" s="2" t="s">
        <v>300</v>
      </c>
    </row>
    <row r="94" spans="1:21">
      <c r="A94" s="120" t="s">
        <v>301</v>
      </c>
      <c r="B94" s="120"/>
      <c r="C94" s="120"/>
      <c r="K94" s="2">
        <v>3555</v>
      </c>
      <c r="L94" s="2">
        <v>3555</v>
      </c>
      <c r="M94" s="2">
        <v>3240</v>
      </c>
    </row>
    <row r="95" spans="1:21" ht="13.95" customHeight="1">
      <c r="A95" s="120" t="s">
        <v>220</v>
      </c>
      <c r="B95" s="120"/>
      <c r="C95" s="120"/>
      <c r="D95" s="2">
        <v>575</v>
      </c>
      <c r="E95" s="2">
        <v>655</v>
      </c>
      <c r="F95" s="2">
        <v>666</v>
      </c>
      <c r="G95" s="2">
        <v>656</v>
      </c>
      <c r="H95" s="2">
        <v>663</v>
      </c>
      <c r="I95" s="2">
        <v>664</v>
      </c>
      <c r="J95" s="2">
        <v>662</v>
      </c>
      <c r="K95" s="2">
        <v>710</v>
      </c>
      <c r="L95" s="2">
        <v>715</v>
      </c>
      <c r="M95" s="2">
        <v>588</v>
      </c>
    </row>
    <row r="96" spans="1:21" ht="13.95" customHeight="1">
      <c r="A96" s="120" t="s">
        <v>303</v>
      </c>
      <c r="B96" s="120"/>
      <c r="C96" s="43">
        <v>2278</v>
      </c>
    </row>
    <row r="97" spans="1:21" ht="13.95" customHeight="1">
      <c r="A97" s="120" t="s">
        <v>304</v>
      </c>
      <c r="B97" s="120"/>
      <c r="C97" s="43">
        <v>401</v>
      </c>
    </row>
    <row r="98" spans="1:21" ht="13.95" customHeight="1">
      <c r="A98" s="120" t="s">
        <v>305</v>
      </c>
      <c r="B98" s="120"/>
      <c r="C98" s="43">
        <v>146</v>
      </c>
    </row>
    <row r="99" spans="1:21" ht="13.95" customHeight="1">
      <c r="A99" s="120" t="s">
        <v>306</v>
      </c>
      <c r="B99" s="120"/>
      <c r="C99" s="120"/>
    </row>
    <row r="100" spans="1:21" ht="13.95" customHeight="1">
      <c r="A100" s="120" t="s">
        <v>307</v>
      </c>
      <c r="B100" s="120"/>
      <c r="C100" s="120"/>
    </row>
    <row r="101" spans="1:21">
      <c r="A101" s="120" t="s">
        <v>308</v>
      </c>
      <c r="B101" s="120"/>
      <c r="C101" s="120"/>
      <c r="D101" s="2">
        <v>210</v>
      </c>
      <c r="G101" s="2">
        <v>228</v>
      </c>
      <c r="H101" s="2">
        <v>232</v>
      </c>
      <c r="I101" s="2">
        <v>229</v>
      </c>
      <c r="J101" s="2">
        <v>246</v>
      </c>
      <c r="K101" s="2">
        <v>220</v>
      </c>
      <c r="L101" s="2">
        <v>191</v>
      </c>
      <c r="M101" s="2">
        <v>161</v>
      </c>
    </row>
    <row r="102" spans="1:21">
      <c r="A102" s="120" t="s">
        <v>309</v>
      </c>
      <c r="B102" s="120"/>
      <c r="C102" s="120"/>
      <c r="D102" s="2">
        <v>170</v>
      </c>
      <c r="E102" s="2">
        <v>219</v>
      </c>
      <c r="F102" s="2">
        <v>231</v>
      </c>
      <c r="G102" s="2">
        <v>225</v>
      </c>
      <c r="H102" s="2">
        <v>231</v>
      </c>
      <c r="I102" s="2">
        <v>231</v>
      </c>
      <c r="J102" s="2">
        <v>237</v>
      </c>
      <c r="K102" s="2">
        <v>257.5</v>
      </c>
      <c r="L102" s="2">
        <v>204</v>
      </c>
      <c r="M102" s="2">
        <v>204</v>
      </c>
    </row>
    <row r="103" spans="1:21">
      <c r="A103" s="120" t="s">
        <v>310</v>
      </c>
      <c r="B103" s="120"/>
      <c r="C103" s="120"/>
      <c r="D103" s="2">
        <v>900</v>
      </c>
      <c r="G103" s="2">
        <v>1576</v>
      </c>
      <c r="H103" s="2">
        <v>1622</v>
      </c>
      <c r="I103" s="2">
        <v>1629</v>
      </c>
      <c r="J103" s="2">
        <v>1645</v>
      </c>
      <c r="K103" s="2">
        <v>1564</v>
      </c>
      <c r="L103" s="2">
        <v>1371</v>
      </c>
      <c r="M103" s="2">
        <v>1035</v>
      </c>
      <c r="U103" s="15"/>
    </row>
    <row r="104" spans="1:21">
      <c r="A104" s="120" t="s">
        <v>311</v>
      </c>
      <c r="B104" s="120"/>
      <c r="C104" s="120"/>
      <c r="E104" s="2">
        <v>132</v>
      </c>
      <c r="F104" s="2">
        <v>142</v>
      </c>
      <c r="G104" s="2">
        <v>166</v>
      </c>
      <c r="H104" s="2">
        <v>187</v>
      </c>
      <c r="I104" s="2">
        <v>188</v>
      </c>
      <c r="J104" s="2">
        <v>176</v>
      </c>
      <c r="K104" s="2">
        <v>244.95</v>
      </c>
      <c r="L104" s="2">
        <v>236</v>
      </c>
      <c r="M104" s="2">
        <v>180</v>
      </c>
    </row>
    <row r="105" spans="1:21">
      <c r="A105" s="120" t="s">
        <v>312</v>
      </c>
      <c r="B105" s="120"/>
      <c r="C105" s="120">
        <v>105</v>
      </c>
      <c r="D105" s="2">
        <v>99</v>
      </c>
      <c r="J105" s="2">
        <v>104.09</v>
      </c>
      <c r="K105" s="2">
        <v>107.95</v>
      </c>
      <c r="L105" s="2">
        <v>99</v>
      </c>
      <c r="M105" s="2">
        <v>119</v>
      </c>
    </row>
    <row r="106" spans="1:21">
      <c r="A106" s="120" t="s">
        <v>313</v>
      </c>
      <c r="B106" s="120"/>
      <c r="C106" s="120"/>
      <c r="D106" s="2">
        <v>1450</v>
      </c>
      <c r="E106" s="2">
        <v>1520</v>
      </c>
      <c r="F106" s="2">
        <v>1565</v>
      </c>
      <c r="G106" s="2">
        <v>1559</v>
      </c>
      <c r="H106" s="2">
        <v>1573</v>
      </c>
      <c r="I106" s="2">
        <v>1569</v>
      </c>
      <c r="J106" s="2">
        <v>1564</v>
      </c>
      <c r="K106" s="2">
        <v>1631</v>
      </c>
      <c r="L106" s="2">
        <v>1727</v>
      </c>
      <c r="M106" s="2">
        <v>1701</v>
      </c>
    </row>
    <row r="107" spans="1:21">
      <c r="A107" s="119" t="s">
        <v>314</v>
      </c>
      <c r="B107" s="119"/>
      <c r="C107" s="143" t="s">
        <v>315</v>
      </c>
      <c r="D107" s="143"/>
      <c r="E107" s="143"/>
      <c r="F107" s="143"/>
      <c r="G107" s="143"/>
      <c r="H107" s="143"/>
      <c r="I107" s="143"/>
    </row>
    <row r="108" spans="1:21">
      <c r="A108" s="2" t="s">
        <v>316</v>
      </c>
      <c r="C108" s="120"/>
      <c r="D108" s="120"/>
      <c r="E108" s="120"/>
      <c r="F108" s="120"/>
      <c r="G108" s="120"/>
      <c r="H108" s="120"/>
      <c r="I108" s="120"/>
    </row>
    <row r="109" spans="1:21">
      <c r="A109" s="2" t="s">
        <v>317</v>
      </c>
      <c r="C109" s="120"/>
      <c r="D109" s="120"/>
      <c r="E109" s="120"/>
      <c r="F109" s="120"/>
      <c r="G109" s="120"/>
      <c r="H109" s="120"/>
      <c r="I109" s="120"/>
    </row>
    <row r="110" spans="1:21">
      <c r="A110" s="2" t="s">
        <v>318</v>
      </c>
      <c r="C110" s="120"/>
      <c r="D110" s="120"/>
      <c r="E110" s="120"/>
      <c r="F110" s="120"/>
      <c r="G110" s="120"/>
      <c r="H110" s="120"/>
      <c r="I110" s="120"/>
    </row>
    <row r="111" spans="1:21">
      <c r="A111" s="2" t="s">
        <v>319</v>
      </c>
      <c r="C111" s="120"/>
      <c r="K111" s="2">
        <v>602</v>
      </c>
    </row>
    <row r="112" spans="1:21">
      <c r="A112" s="2" t="s">
        <v>320</v>
      </c>
      <c r="C112" s="120"/>
      <c r="K112" s="2">
        <v>1726</v>
      </c>
    </row>
    <row r="113" spans="1:44">
      <c r="A113" s="2" t="s">
        <v>321</v>
      </c>
      <c r="C113" s="37">
        <v>0.05</v>
      </c>
      <c r="K113" s="2">
        <v>2428</v>
      </c>
    </row>
    <row r="114" spans="1:44">
      <c r="A114" s="2" t="s">
        <v>318</v>
      </c>
      <c r="C114" s="120"/>
      <c r="K114" s="2">
        <v>7818</v>
      </c>
    </row>
    <row r="115" spans="1:44">
      <c r="A115" s="2" t="s">
        <v>322</v>
      </c>
      <c r="C115" s="120"/>
    </row>
    <row r="116" spans="1:44">
      <c r="C116" s="120"/>
    </row>
    <row r="117" spans="1:44">
      <c r="A117" s="119" t="s">
        <v>323</v>
      </c>
      <c r="B117" s="119"/>
      <c r="C117" s="120"/>
    </row>
    <row r="118" spans="1:44">
      <c r="A118" s="36" t="s">
        <v>324</v>
      </c>
      <c r="B118" s="36"/>
      <c r="C118" s="120"/>
    </row>
    <row r="119" spans="1:44">
      <c r="A119" s="36" t="s">
        <v>325</v>
      </c>
      <c r="B119" s="36"/>
      <c r="C119" s="120"/>
    </row>
    <row r="120" spans="1:44">
      <c r="A120" s="36" t="s">
        <v>326</v>
      </c>
      <c r="B120" s="36"/>
      <c r="C120" s="120"/>
      <c r="AA120" s="15"/>
    </row>
    <row r="121" spans="1:44">
      <c r="A121" s="36" t="s">
        <v>327</v>
      </c>
      <c r="B121" s="36"/>
      <c r="C121" s="120"/>
      <c r="AA121" s="15"/>
    </row>
    <row r="122" spans="1:44">
      <c r="A122" s="36" t="s">
        <v>328</v>
      </c>
      <c r="B122" s="36"/>
      <c r="C122" s="120"/>
      <c r="AA122" s="15"/>
    </row>
    <row r="123" spans="1:44">
      <c r="A123" s="36" t="s">
        <v>329</v>
      </c>
      <c r="B123" s="36"/>
      <c r="C123" s="120"/>
      <c r="AA123" s="15"/>
    </row>
    <row r="124" spans="1:44" ht="13.95" customHeight="1">
      <c r="A124" s="2" t="s">
        <v>330</v>
      </c>
      <c r="C124" s="120"/>
      <c r="P124" s="2">
        <v>2220</v>
      </c>
    </row>
    <row r="125" spans="1:44" ht="13.2" customHeight="1">
      <c r="A125" s="120" t="s">
        <v>331</v>
      </c>
      <c r="B125" s="120"/>
      <c r="C125" s="120"/>
      <c r="D125" s="17"/>
      <c r="P125" s="2">
        <v>704</v>
      </c>
      <c r="AB125" s="2">
        <v>0.55000000000000004</v>
      </c>
      <c r="AC125" s="2">
        <v>1.9</v>
      </c>
      <c r="AD125" s="2">
        <v>0.36</v>
      </c>
      <c r="AE125" s="2">
        <v>0.17</v>
      </c>
      <c r="AF125" s="2">
        <v>4.87</v>
      </c>
      <c r="AG125" s="2">
        <v>31.3</v>
      </c>
      <c r="AH125" s="2">
        <v>0.02</v>
      </c>
      <c r="AI125" s="2">
        <v>33.4</v>
      </c>
      <c r="AJ125" s="2">
        <v>22.6</v>
      </c>
      <c r="AL125" s="2">
        <v>21.8</v>
      </c>
      <c r="AN125" s="2">
        <v>5.5</v>
      </c>
      <c r="AO125" s="15"/>
    </row>
    <row r="126" spans="1:44" ht="15" customHeight="1">
      <c r="A126" s="120" t="s">
        <v>332</v>
      </c>
      <c r="B126" s="120"/>
      <c r="C126" s="120"/>
    </row>
    <row r="127" spans="1:44">
      <c r="A127" s="120" t="s">
        <v>333</v>
      </c>
      <c r="B127" s="120"/>
      <c r="C127" s="120"/>
      <c r="D127" s="22" t="s">
        <v>334</v>
      </c>
      <c r="AF127" s="2">
        <v>1.36</v>
      </c>
      <c r="AG127" s="2">
        <v>12.87</v>
      </c>
      <c r="AH127" s="2">
        <v>0.02</v>
      </c>
      <c r="AI127" s="2">
        <v>2.84</v>
      </c>
      <c r="AJ127" s="2">
        <v>59.3</v>
      </c>
      <c r="AK127" s="2">
        <v>13.2</v>
      </c>
      <c r="AL127" s="2">
        <v>0.97</v>
      </c>
      <c r="AM127" s="2">
        <v>17.3</v>
      </c>
      <c r="AN127" s="2">
        <v>22.9</v>
      </c>
      <c r="AP127" s="2">
        <v>13.1</v>
      </c>
      <c r="AQ127" s="2">
        <v>304</v>
      </c>
      <c r="AR127" s="2">
        <v>6.51</v>
      </c>
    </row>
    <row r="128" spans="1:44">
      <c r="A128" s="2" t="s">
        <v>335</v>
      </c>
      <c r="C128" s="120"/>
      <c r="D128" s="22"/>
    </row>
    <row r="129" spans="1:4">
      <c r="A129" s="120" t="s">
        <v>336</v>
      </c>
      <c r="B129" s="120"/>
      <c r="C129" s="120"/>
      <c r="D129" s="2" t="s">
        <v>337</v>
      </c>
    </row>
    <row r="130" spans="1:4">
      <c r="A130" s="120" t="s">
        <v>338</v>
      </c>
      <c r="B130" s="120"/>
      <c r="C130" s="120"/>
      <c r="D130" s="2" t="s">
        <v>337</v>
      </c>
    </row>
    <row r="131" spans="1:4">
      <c r="A131" s="120" t="s">
        <v>339</v>
      </c>
      <c r="B131" s="120"/>
      <c r="C131" s="120"/>
      <c r="D131" s="2" t="s">
        <v>337</v>
      </c>
    </row>
    <row r="132" spans="1:4">
      <c r="A132" s="120"/>
      <c r="B132" s="120"/>
      <c r="C132" s="120"/>
    </row>
    <row r="133" spans="1:4">
      <c r="A133" s="2" t="s">
        <v>340</v>
      </c>
      <c r="C133" s="2" t="s">
        <v>341</v>
      </c>
    </row>
    <row r="134" spans="1:4">
      <c r="A134" s="34" t="s">
        <v>342</v>
      </c>
      <c r="B134" s="34"/>
    </row>
    <row r="135" spans="1:4">
      <c r="A135" s="33" t="s">
        <v>343</v>
      </c>
      <c r="B135" s="33"/>
    </row>
    <row r="136" spans="1:4">
      <c r="A136" s="33" t="s">
        <v>344</v>
      </c>
      <c r="B136" s="33"/>
      <c r="C136" s="120"/>
    </row>
    <row r="137" spans="1:4">
      <c r="A137" s="33" t="s">
        <v>345</v>
      </c>
      <c r="B137" s="33"/>
      <c r="C137" s="120"/>
    </row>
    <row r="138" spans="1:4">
      <c r="A138" s="33" t="s">
        <v>346</v>
      </c>
      <c r="B138" s="33"/>
      <c r="C138" s="120"/>
    </row>
    <row r="139" spans="1:4">
      <c r="A139" s="33" t="s">
        <v>347</v>
      </c>
      <c r="B139" s="33"/>
      <c r="C139" s="120"/>
    </row>
    <row r="140" spans="1:4">
      <c r="A140" s="33" t="s">
        <v>348</v>
      </c>
      <c r="B140" s="33"/>
      <c r="C140" s="120"/>
    </row>
    <row r="141" spans="1:4">
      <c r="A141" s="33"/>
      <c r="B141" s="33"/>
      <c r="C141" s="120"/>
    </row>
    <row r="142" spans="1:4">
      <c r="A142" s="33"/>
      <c r="B142" s="33"/>
      <c r="C142" s="120"/>
    </row>
    <row r="143" spans="1:4">
      <c r="A143" s="33"/>
      <c r="B143" s="33"/>
      <c r="C143" s="120"/>
    </row>
    <row r="144" spans="1:4">
      <c r="A144" s="33"/>
      <c r="B144" s="33"/>
      <c r="C144" s="120"/>
    </row>
    <row r="145" spans="1:49">
      <c r="A145" s="120"/>
      <c r="B145" s="120"/>
      <c r="C145" s="120"/>
    </row>
    <row r="146" spans="1:49">
      <c r="A146" s="23" t="s">
        <v>349</v>
      </c>
      <c r="B146" s="23"/>
      <c r="C146" s="23"/>
      <c r="D146" s="2" t="s">
        <v>350</v>
      </c>
      <c r="AG146" s="17"/>
      <c r="AH146" s="17"/>
      <c r="AI146" s="17"/>
      <c r="AJ146" s="17"/>
      <c r="AK146" s="17"/>
      <c r="AL146" s="17"/>
      <c r="AM146" s="17"/>
      <c r="AN146" s="17"/>
      <c r="AO146" s="17"/>
      <c r="AP146" s="17"/>
      <c r="AQ146" s="17"/>
      <c r="AR146" s="17"/>
    </row>
    <row r="147" spans="1:49">
      <c r="A147" s="23" t="s">
        <v>351</v>
      </c>
      <c r="B147" s="23"/>
      <c r="C147" s="23"/>
      <c r="D147" s="2" t="s">
        <v>350</v>
      </c>
      <c r="AF147" s="17"/>
      <c r="AG147" s="17"/>
      <c r="AH147" s="17"/>
      <c r="AI147" s="17"/>
      <c r="AJ147" s="17"/>
      <c r="AK147" s="17"/>
      <c r="AL147" s="17"/>
      <c r="AM147" s="17"/>
      <c r="AN147" s="17"/>
      <c r="AO147" s="17"/>
      <c r="AP147" s="17"/>
      <c r="AQ147" s="17"/>
      <c r="AR147" s="17"/>
    </row>
    <row r="148" spans="1:49">
      <c r="A148" s="23" t="s">
        <v>250</v>
      </c>
      <c r="B148" s="23"/>
      <c r="C148" s="23"/>
      <c r="D148" s="2" t="s">
        <v>350</v>
      </c>
      <c r="AF148" s="17"/>
      <c r="AG148" s="17"/>
      <c r="AH148" s="17"/>
      <c r="AI148" s="17"/>
      <c r="AJ148" s="17"/>
      <c r="AK148" s="17"/>
      <c r="AL148" s="17"/>
      <c r="AM148" s="17"/>
      <c r="AN148" s="17"/>
      <c r="AO148" s="17"/>
      <c r="AP148" s="17"/>
      <c r="AQ148" s="17"/>
      <c r="AR148" s="17"/>
    </row>
    <row r="149" spans="1:49">
      <c r="A149" s="23" t="s">
        <v>352</v>
      </c>
      <c r="B149" s="23"/>
      <c r="C149" s="23"/>
      <c r="D149" s="2" t="s">
        <v>350</v>
      </c>
      <c r="AF149" s="17">
        <v>1.74</v>
      </c>
      <c r="AG149" s="17">
        <v>18</v>
      </c>
      <c r="AH149" s="17">
        <v>0.23</v>
      </c>
      <c r="AI149" s="17">
        <v>1.32</v>
      </c>
      <c r="AJ149" s="17">
        <v>9.5500000000000007</v>
      </c>
      <c r="AK149" s="17">
        <v>12.8</v>
      </c>
      <c r="AL149" s="17">
        <v>0.76</v>
      </c>
      <c r="AM149" s="17">
        <v>9.99</v>
      </c>
      <c r="AN149" s="17">
        <v>18.7</v>
      </c>
      <c r="AO149" s="17"/>
      <c r="AP149" s="17">
        <v>4.01</v>
      </c>
      <c r="AQ149" s="17">
        <v>2.64</v>
      </c>
      <c r="AR149" s="17">
        <v>3.91</v>
      </c>
    </row>
    <row r="150" spans="1:49">
      <c r="A150" s="23" t="s">
        <v>353</v>
      </c>
      <c r="B150" s="23"/>
      <c r="C150" s="23"/>
      <c r="D150" s="2" t="s">
        <v>350</v>
      </c>
    </row>
    <row r="151" spans="1:49">
      <c r="A151" s="23" t="s">
        <v>354</v>
      </c>
      <c r="B151" s="23"/>
      <c r="C151" s="23"/>
      <c r="D151" s="2" t="s">
        <v>350</v>
      </c>
    </row>
    <row r="153" spans="1:49">
      <c r="A153" s="24" t="s">
        <v>355</v>
      </c>
      <c r="B153" s="24"/>
      <c r="C153" s="24"/>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5"/>
    </row>
    <row r="154" spans="1:49">
      <c r="A154" s="24" t="s">
        <v>356</v>
      </c>
      <c r="B154" s="24"/>
      <c r="C154" s="24"/>
    </row>
    <row r="155" spans="1:49">
      <c r="A155" s="24" t="s">
        <v>357</v>
      </c>
      <c r="B155" s="24"/>
      <c r="C155" s="24"/>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v>0.34</v>
      </c>
      <c r="AG155" s="17">
        <v>3.01</v>
      </c>
      <c r="AH155" s="17">
        <v>0.42</v>
      </c>
      <c r="AI155" s="17">
        <v>1.8</v>
      </c>
      <c r="AJ155" s="17">
        <v>6.23</v>
      </c>
      <c r="AK155" s="17">
        <v>37.6</v>
      </c>
      <c r="AL155" s="17">
        <v>0.02</v>
      </c>
      <c r="AM155" s="17">
        <v>9.52</v>
      </c>
      <c r="AN155" s="17">
        <v>9.69</v>
      </c>
      <c r="AO155" s="17"/>
      <c r="AP155" s="17">
        <v>4.5199999999999996</v>
      </c>
      <c r="AQ155" s="17"/>
      <c r="AR155" s="17"/>
      <c r="AS155" s="15"/>
    </row>
    <row r="156" spans="1:49">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5"/>
    </row>
    <row r="157" spans="1:49">
      <c r="A157" s="2" t="s">
        <v>358</v>
      </c>
      <c r="C157" s="2" t="s">
        <v>359</v>
      </c>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O157" s="119"/>
      <c r="AP157" s="119"/>
      <c r="AQ157" s="119"/>
      <c r="AR157" s="119"/>
      <c r="AS157" s="119"/>
    </row>
    <row r="158" spans="1:49">
      <c r="C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O158" s="119"/>
      <c r="AP158" s="119"/>
      <c r="AQ158" s="119"/>
      <c r="AR158" s="119"/>
      <c r="AS158" s="119"/>
    </row>
    <row r="159" spans="1:49">
      <c r="A159" s="142" t="s">
        <v>360</v>
      </c>
      <c r="B159" s="142"/>
      <c r="C159" s="142"/>
      <c r="D159" s="142"/>
      <c r="E159" s="142"/>
      <c r="F159" s="142"/>
      <c r="G159" s="142"/>
      <c r="H159" s="142"/>
      <c r="I159" s="142"/>
      <c r="J159" s="142"/>
      <c r="K159" s="142"/>
      <c r="L159" s="142"/>
      <c r="M159" s="142"/>
      <c r="N159" s="142"/>
      <c r="O159" s="142"/>
      <c r="P159" s="142"/>
      <c r="Q159" s="142"/>
      <c r="R159" s="142"/>
      <c r="S159" s="142"/>
      <c r="T159" s="142"/>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row>
    <row r="160" spans="1:49">
      <c r="A160" s="119" t="s">
        <v>265</v>
      </c>
      <c r="B160" s="119"/>
      <c r="C160" s="119"/>
      <c r="D160" s="119"/>
      <c r="E160" s="119" t="s">
        <v>267</v>
      </c>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t="s">
        <v>268</v>
      </c>
      <c r="AG160" s="119" t="s">
        <v>269</v>
      </c>
      <c r="AH160" s="119"/>
      <c r="AI160" s="119"/>
      <c r="AJ160" s="119"/>
      <c r="AK160" s="119"/>
      <c r="AL160" s="119"/>
      <c r="AM160" s="2" t="s">
        <v>275</v>
      </c>
      <c r="AO160" s="119" t="s">
        <v>277</v>
      </c>
      <c r="AP160" s="119" t="s">
        <v>361</v>
      </c>
      <c r="AQ160" s="119" t="s">
        <v>362</v>
      </c>
      <c r="AR160" s="119" t="s">
        <v>363</v>
      </c>
      <c r="AS160" s="119" t="s">
        <v>278</v>
      </c>
      <c r="AT160" s="2" t="s">
        <v>364</v>
      </c>
      <c r="AU160" s="2" t="s">
        <v>365</v>
      </c>
      <c r="AV160" s="2" t="s">
        <v>366</v>
      </c>
    </row>
    <row r="161" spans="1:49">
      <c r="A161" s="2" t="s">
        <v>367</v>
      </c>
    </row>
    <row r="162" spans="1:49">
      <c r="A162" s="2" t="s">
        <v>368</v>
      </c>
    </row>
    <row r="163" spans="1:49">
      <c r="A163" s="2" t="s">
        <v>369</v>
      </c>
    </row>
    <row r="164" spans="1:49">
      <c r="A164" s="2" t="s">
        <v>370</v>
      </c>
    </row>
    <row r="165" spans="1:49">
      <c r="A165" s="142"/>
      <c r="B165" s="142"/>
      <c r="C165" s="142"/>
      <c r="D165" s="142"/>
      <c r="E165" s="142"/>
      <c r="F165" s="142"/>
      <c r="G165" s="142"/>
      <c r="H165" s="142"/>
      <c r="I165" s="142"/>
      <c r="J165" s="142"/>
      <c r="K165" s="142"/>
      <c r="L165" s="142"/>
      <c r="M165" s="142"/>
      <c r="N165" s="142"/>
      <c r="O165" s="142"/>
      <c r="P165" s="142"/>
      <c r="Q165" s="142"/>
      <c r="R165" s="142"/>
      <c r="S165" s="142"/>
      <c r="T165" s="142"/>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row>
    <row r="166" spans="1:49">
      <c r="A166" s="119" t="s">
        <v>371</v>
      </c>
      <c r="B166" s="119"/>
      <c r="C166" s="119"/>
      <c r="E166" s="119" t="s">
        <v>267</v>
      </c>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t="s">
        <v>268</v>
      </c>
      <c r="AG166" s="119" t="s">
        <v>269</v>
      </c>
      <c r="AH166" s="119"/>
      <c r="AI166" s="119"/>
      <c r="AJ166" s="119"/>
      <c r="AK166" s="119"/>
      <c r="AL166" s="119"/>
      <c r="AM166" s="2" t="s">
        <v>275</v>
      </c>
      <c r="AO166" s="119" t="s">
        <v>277</v>
      </c>
      <c r="AP166" s="119" t="s">
        <v>361</v>
      </c>
      <c r="AQ166" s="119" t="s">
        <v>362</v>
      </c>
      <c r="AR166" s="119" t="s">
        <v>363</v>
      </c>
      <c r="AS166" s="119" t="s">
        <v>278</v>
      </c>
      <c r="AT166" s="2" t="s">
        <v>364</v>
      </c>
      <c r="AU166" s="2" t="s">
        <v>365</v>
      </c>
      <c r="AV166" s="2" t="s">
        <v>366</v>
      </c>
    </row>
    <row r="167" spans="1:49">
      <c r="A167" s="2" t="s">
        <v>372</v>
      </c>
    </row>
    <row r="168" spans="1:49">
      <c r="A168" s="2" t="s">
        <v>373</v>
      </c>
    </row>
    <row r="169" spans="1:49">
      <c r="A169" s="2" t="s">
        <v>374</v>
      </c>
    </row>
    <row r="170" spans="1:49">
      <c r="A170" s="2" t="s">
        <v>375</v>
      </c>
    </row>
    <row r="171" spans="1:49">
      <c r="A171" s="2" t="s">
        <v>376</v>
      </c>
    </row>
    <row r="172" spans="1:49">
      <c r="A172" s="2" t="s">
        <v>377</v>
      </c>
    </row>
    <row r="173" spans="1:49">
      <c r="A173" s="2" t="s">
        <v>378</v>
      </c>
    </row>
    <row r="174" spans="1:49">
      <c r="A174" s="2" t="s">
        <v>379</v>
      </c>
    </row>
    <row r="175" spans="1:49">
      <c r="A175" s="2" t="s">
        <v>380</v>
      </c>
    </row>
    <row r="176" spans="1:49">
      <c r="A176" s="2" t="s">
        <v>381</v>
      </c>
    </row>
    <row r="177" spans="1:49">
      <c r="A177" s="2" t="s">
        <v>382</v>
      </c>
    </row>
    <row r="178" spans="1:49">
      <c r="A178" s="2" t="s">
        <v>383</v>
      </c>
    </row>
    <row r="179" spans="1:49">
      <c r="A179" s="2" t="s">
        <v>384</v>
      </c>
    </row>
    <row r="180" spans="1:49">
      <c r="A180" s="2" t="s">
        <v>385</v>
      </c>
    </row>
    <row r="181" spans="1:49">
      <c r="A181" s="142"/>
      <c r="B181" s="142"/>
      <c r="C181" s="142"/>
      <c r="D181" s="142"/>
      <c r="E181" s="142"/>
      <c r="F181" s="142"/>
      <c r="G181" s="142"/>
      <c r="H181" s="142"/>
      <c r="I181" s="142"/>
      <c r="J181" s="142"/>
      <c r="K181" s="142"/>
      <c r="L181" s="142"/>
      <c r="M181" s="142"/>
      <c r="N181" s="142"/>
      <c r="O181" s="142"/>
      <c r="P181" s="142"/>
      <c r="Q181" s="142"/>
      <c r="R181" s="142"/>
      <c r="S181" s="142"/>
      <c r="T181" s="142"/>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row>
    <row r="182" spans="1:49">
      <c r="A182" s="119" t="s">
        <v>386</v>
      </c>
      <c r="B182" s="119"/>
      <c r="C182" s="119"/>
      <c r="E182" s="119" t="s">
        <v>267</v>
      </c>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t="s">
        <v>268</v>
      </c>
      <c r="AG182" s="119" t="s">
        <v>269</v>
      </c>
      <c r="AH182" s="119"/>
      <c r="AI182" s="119"/>
      <c r="AJ182" s="119"/>
      <c r="AK182" s="119"/>
      <c r="AL182" s="119"/>
      <c r="AM182" s="2" t="s">
        <v>275</v>
      </c>
      <c r="AO182" s="119" t="s">
        <v>277</v>
      </c>
      <c r="AP182" s="119" t="s">
        <v>361</v>
      </c>
      <c r="AQ182" s="119" t="s">
        <v>362</v>
      </c>
      <c r="AR182" s="119" t="s">
        <v>363</v>
      </c>
      <c r="AS182" s="119" t="s">
        <v>278</v>
      </c>
      <c r="AT182" s="2" t="s">
        <v>364</v>
      </c>
      <c r="AU182" s="2" t="s">
        <v>365</v>
      </c>
      <c r="AV182" s="2" t="s">
        <v>366</v>
      </c>
    </row>
    <row r="183" spans="1:49">
      <c r="A183" s="2" t="s">
        <v>387</v>
      </c>
    </row>
    <row r="184" spans="1:49">
      <c r="A184" s="2" t="s">
        <v>388</v>
      </c>
    </row>
    <row r="185" spans="1:49">
      <c r="A185" s="25" t="s">
        <v>389</v>
      </c>
      <c r="B185" s="25"/>
      <c r="C185" s="25"/>
    </row>
    <row r="187" spans="1:49">
      <c r="A187" s="119" t="s">
        <v>390</v>
      </c>
      <c r="B187" s="119"/>
      <c r="C187" s="119"/>
      <c r="E187" s="119" t="s">
        <v>267</v>
      </c>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t="s">
        <v>268</v>
      </c>
      <c r="AG187" s="119" t="s">
        <v>269</v>
      </c>
      <c r="AH187" s="119"/>
      <c r="AI187" s="119"/>
      <c r="AJ187" s="119"/>
      <c r="AK187" s="119"/>
      <c r="AL187" s="119"/>
      <c r="AM187" s="2" t="s">
        <v>275</v>
      </c>
      <c r="AO187" s="119" t="s">
        <v>277</v>
      </c>
      <c r="AP187" s="119" t="s">
        <v>361</v>
      </c>
      <c r="AQ187" s="119" t="s">
        <v>362</v>
      </c>
      <c r="AR187" s="119" t="s">
        <v>363</v>
      </c>
      <c r="AS187" s="119" t="s">
        <v>278</v>
      </c>
      <c r="AT187" s="2" t="s">
        <v>364</v>
      </c>
      <c r="AU187" s="2" t="s">
        <v>365</v>
      </c>
      <c r="AV187" s="2" t="s">
        <v>366</v>
      </c>
    </row>
    <row r="188" spans="1:49">
      <c r="A188" s="2" t="s">
        <v>391</v>
      </c>
    </row>
    <row r="189" spans="1:49">
      <c r="A189" s="21" t="s">
        <v>392</v>
      </c>
      <c r="B189" s="21"/>
      <c r="C189" s="21"/>
    </row>
    <row r="190" spans="1:49">
      <c r="A190" s="2" t="s">
        <v>393</v>
      </c>
    </row>
    <row r="191" spans="1:49">
      <c r="A191" s="2" t="s">
        <v>394</v>
      </c>
    </row>
    <row r="192" spans="1:49">
      <c r="A192" s="2" t="s">
        <v>395</v>
      </c>
    </row>
    <row r="193" spans="1:48">
      <c r="A193" s="2" t="s">
        <v>358</v>
      </c>
    </row>
    <row r="194" spans="1:48">
      <c r="A194" s="2" t="s">
        <v>396</v>
      </c>
    </row>
    <row r="195" spans="1:48">
      <c r="A195" s="2" t="s">
        <v>397</v>
      </c>
    </row>
    <row r="196" spans="1:48">
      <c r="A196" s="2" t="s">
        <v>398</v>
      </c>
    </row>
    <row r="198" spans="1:48">
      <c r="A198" s="119" t="s">
        <v>399</v>
      </c>
      <c r="B198" s="119"/>
      <c r="C198" s="119"/>
      <c r="E198" s="119" t="s">
        <v>267</v>
      </c>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t="s">
        <v>268</v>
      </c>
      <c r="AG198" s="119" t="s">
        <v>269</v>
      </c>
      <c r="AH198" s="119"/>
      <c r="AI198" s="119"/>
      <c r="AJ198" s="119"/>
      <c r="AK198" s="119"/>
      <c r="AL198" s="119"/>
      <c r="AM198" s="2" t="s">
        <v>275</v>
      </c>
      <c r="AO198" s="119" t="s">
        <v>277</v>
      </c>
      <c r="AP198" s="119" t="s">
        <v>361</v>
      </c>
      <c r="AQ198" s="119" t="s">
        <v>362</v>
      </c>
      <c r="AR198" s="119" t="s">
        <v>363</v>
      </c>
      <c r="AS198" s="119" t="s">
        <v>278</v>
      </c>
      <c r="AT198" s="2" t="s">
        <v>364</v>
      </c>
      <c r="AU198" s="2" t="s">
        <v>365</v>
      </c>
      <c r="AV198" s="2" t="s">
        <v>366</v>
      </c>
    </row>
    <row r="199" spans="1:48">
      <c r="A199" s="2" t="s">
        <v>400</v>
      </c>
    </row>
    <row r="200" spans="1:48">
      <c r="A200" s="2" t="s">
        <v>401</v>
      </c>
    </row>
    <row r="201" spans="1:48">
      <c r="A201" s="2" t="s">
        <v>402</v>
      </c>
    </row>
    <row r="202" spans="1:48">
      <c r="A202" s="2" t="s">
        <v>403</v>
      </c>
    </row>
    <row r="203" spans="1:48">
      <c r="A203" s="2" t="s">
        <v>404</v>
      </c>
    </row>
    <row r="204" spans="1:48">
      <c r="A204" s="2" t="s">
        <v>241</v>
      </c>
    </row>
    <row r="205" spans="1:48">
      <c r="A205" s="2" t="s">
        <v>405</v>
      </c>
    </row>
    <row r="206" spans="1:48">
      <c r="A206" s="2" t="s">
        <v>406</v>
      </c>
    </row>
    <row r="207" spans="1:48">
      <c r="A207" s="2" t="s">
        <v>407</v>
      </c>
    </row>
    <row r="208" spans="1:48">
      <c r="A208" s="2" t="s">
        <v>408</v>
      </c>
    </row>
    <row r="209" spans="1:49">
      <c r="A209" s="2" t="s">
        <v>409</v>
      </c>
    </row>
    <row r="210" spans="1:49">
      <c r="A210" s="2" t="s">
        <v>410</v>
      </c>
    </row>
    <row r="211" spans="1:49">
      <c r="A211" s="2" t="s">
        <v>411</v>
      </c>
    </row>
    <row r="212" spans="1:49">
      <c r="A212" s="2" t="s">
        <v>301</v>
      </c>
    </row>
    <row r="213" spans="1:49">
      <c r="A213" s="2" t="s">
        <v>412</v>
      </c>
    </row>
    <row r="214" spans="1:49">
      <c r="A214" s="2" t="s">
        <v>413</v>
      </c>
    </row>
    <row r="215" spans="1:49">
      <c r="A215" s="2" t="s">
        <v>414</v>
      </c>
    </row>
    <row r="216" spans="1:49">
      <c r="A216" s="2" t="s">
        <v>415</v>
      </c>
    </row>
    <row r="217" spans="1:49">
      <c r="A217" s="2" t="s">
        <v>416</v>
      </c>
    </row>
    <row r="218" spans="1:49">
      <c r="A218" s="2" t="s">
        <v>417</v>
      </c>
    </row>
    <row r="219" spans="1:49">
      <c r="A219" s="142"/>
      <c r="B219" s="142"/>
      <c r="C219" s="142"/>
      <c r="D219" s="142"/>
      <c r="E219" s="142"/>
      <c r="F219" s="142"/>
      <c r="G219" s="142"/>
      <c r="H219" s="142"/>
      <c r="I219" s="142"/>
      <c r="J219" s="142"/>
      <c r="K219" s="142"/>
      <c r="L219" s="142"/>
      <c r="M219" s="142"/>
      <c r="N219" s="142"/>
      <c r="O219" s="142"/>
      <c r="P219" s="142"/>
      <c r="Q219" s="142"/>
      <c r="R219" s="142"/>
      <c r="S219" s="142"/>
      <c r="T219" s="142"/>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row>
  </sheetData>
  <mergeCells count="6">
    <mergeCell ref="A2:AN2"/>
    <mergeCell ref="A219:AW219"/>
    <mergeCell ref="A159:AW159"/>
    <mergeCell ref="A165:AW165"/>
    <mergeCell ref="A181:AW181"/>
    <mergeCell ref="C107:I107"/>
  </mergeCells>
  <pageMargins left="0.7" right="0.7" top="0.75" bottom="0.75" header="0.3" footer="0.3"/>
  <pageSetup orientation="portrait" horizontalDpi="300" verticalDpi="30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69BA4-4FF7-4EC8-80BC-518A6F6BF820}">
  <dimension ref="A1:E64"/>
  <sheetViews>
    <sheetView topLeftCell="A5" zoomScale="85" zoomScaleNormal="85" workbookViewId="0">
      <selection activeCell="B6" sqref="B6"/>
    </sheetView>
  </sheetViews>
  <sheetFormatPr defaultRowHeight="14.4"/>
  <cols>
    <col min="1" max="1" width="44.88671875" customWidth="1"/>
    <col min="2" max="2" width="79" customWidth="1"/>
    <col min="3" max="3" width="56.6640625" customWidth="1"/>
    <col min="4" max="4" width="53.6640625" customWidth="1"/>
    <col min="5" max="5" width="63.109375" customWidth="1"/>
    <col min="6" max="6" width="18.88671875" customWidth="1"/>
  </cols>
  <sheetData>
    <row r="1" spans="1:5" ht="277.95" customHeight="1">
      <c r="A1" s="144" t="s">
        <v>418</v>
      </c>
      <c r="B1" s="144"/>
      <c r="C1" s="144" t="s">
        <v>419</v>
      </c>
      <c r="D1" s="145"/>
    </row>
    <row r="2" spans="1:5" ht="130.94999999999999" customHeight="1">
      <c r="A2" t="s">
        <v>420</v>
      </c>
      <c r="B2" s="1" t="s">
        <v>421</v>
      </c>
      <c r="C2" s="1" t="s">
        <v>422</v>
      </c>
      <c r="D2" s="1" t="s">
        <v>423</v>
      </c>
      <c r="E2" s="1"/>
    </row>
    <row r="3" spans="1:5" ht="158.4">
      <c r="A3" s="10" t="s">
        <v>424</v>
      </c>
      <c r="B3" s="1" t="s">
        <v>425</v>
      </c>
      <c r="C3" s="1"/>
    </row>
    <row r="4" spans="1:5" ht="187.2">
      <c r="A4" t="s">
        <v>426</v>
      </c>
      <c r="B4" s="14" t="s">
        <v>427</v>
      </c>
      <c r="C4" s="1" t="s">
        <v>428</v>
      </c>
      <c r="D4" s="1"/>
      <c r="E4" s="1"/>
    </row>
    <row r="5" spans="1:5" ht="216">
      <c r="A5" t="s">
        <v>429</v>
      </c>
      <c r="B5" s="1" t="s">
        <v>430</v>
      </c>
      <c r="C5" s="14" t="s">
        <v>431</v>
      </c>
      <c r="D5" s="1" t="s">
        <v>432</v>
      </c>
      <c r="E5" s="1" t="s">
        <v>433</v>
      </c>
    </row>
    <row r="6" spans="1:5">
      <c r="A6" t="s">
        <v>434</v>
      </c>
      <c r="B6" s="1" t="s">
        <v>435</v>
      </c>
      <c r="C6" s="1"/>
      <c r="D6" s="1"/>
      <c r="E6" s="1"/>
    </row>
    <row r="7" spans="1:5" ht="43.2">
      <c r="A7" t="s">
        <v>436</v>
      </c>
      <c r="B7" s="1" t="s">
        <v>437</v>
      </c>
      <c r="C7" s="1"/>
      <c r="D7" s="1"/>
      <c r="E7" s="1"/>
    </row>
    <row r="8" spans="1:5" ht="57.6">
      <c r="A8" t="s">
        <v>438</v>
      </c>
      <c r="B8" s="6" t="s">
        <v>439</v>
      </c>
      <c r="C8" s="6" t="s">
        <v>440</v>
      </c>
      <c r="D8" s="6"/>
      <c r="E8" s="1"/>
    </row>
    <row r="9" spans="1:5">
      <c r="B9" s="6"/>
      <c r="C9" s="6"/>
      <c r="D9" s="6"/>
      <c r="E9" s="1"/>
    </row>
    <row r="10" spans="1:5">
      <c r="B10" s="6"/>
      <c r="C10" s="6"/>
      <c r="D10" s="6"/>
      <c r="E10" s="1"/>
    </row>
    <row r="11" spans="1:5">
      <c r="B11" s="6"/>
      <c r="C11" s="6"/>
      <c r="D11" s="6"/>
      <c r="E11" s="1"/>
    </row>
    <row r="12" spans="1:5" ht="172.8">
      <c r="A12" s="10" t="s">
        <v>441</v>
      </c>
      <c r="B12" s="6" t="s">
        <v>442</v>
      </c>
      <c r="C12" s="144"/>
      <c r="D12" s="1" t="s">
        <v>443</v>
      </c>
    </row>
    <row r="13" spans="1:5" ht="86.4">
      <c r="A13" t="s">
        <v>444</v>
      </c>
      <c r="B13" s="1" t="s">
        <v>445</v>
      </c>
      <c r="C13" s="144"/>
      <c r="D13" s="1"/>
      <c r="E13" s="1"/>
    </row>
    <row r="14" spans="1:5" ht="72">
      <c r="B14" s="1" t="s">
        <v>446</v>
      </c>
      <c r="C14" s="144"/>
    </row>
    <row r="15" spans="1:5" ht="90" customHeight="1">
      <c r="B15" s="1" t="s">
        <v>447</v>
      </c>
      <c r="C15" s="144"/>
      <c r="D15" s="1"/>
      <c r="E15" s="1"/>
    </row>
    <row r="16" spans="1:5">
      <c r="B16" s="1"/>
      <c r="C16" s="1"/>
      <c r="D16" s="1"/>
      <c r="E16" s="1"/>
    </row>
    <row r="17" spans="1:5">
      <c r="B17" s="1"/>
      <c r="D17" s="1"/>
      <c r="E17" s="1"/>
    </row>
    <row r="18" spans="1:5">
      <c r="B18" s="1"/>
    </row>
    <row r="19" spans="1:5">
      <c r="A19" s="10" t="s">
        <v>448</v>
      </c>
    </row>
    <row r="20" spans="1:5" ht="28.8">
      <c r="A20" t="s">
        <v>449</v>
      </c>
      <c r="B20" s="1" t="s">
        <v>450</v>
      </c>
    </row>
    <row r="24" spans="1:5">
      <c r="A24" s="10" t="s">
        <v>451</v>
      </c>
      <c r="C24" s="10" t="s">
        <v>341</v>
      </c>
      <c r="D24" s="10"/>
    </row>
    <row r="25" spans="1:5" ht="86.4">
      <c r="A25" t="s">
        <v>452</v>
      </c>
      <c r="B25" s="1" t="s">
        <v>453</v>
      </c>
      <c r="C25" s="1" t="s">
        <v>454</v>
      </c>
    </row>
    <row r="26" spans="1:5" ht="318" customHeight="1">
      <c r="A26" t="s">
        <v>455</v>
      </c>
      <c r="B26" s="1" t="s">
        <v>456</v>
      </c>
      <c r="C26" s="1" t="s">
        <v>457</v>
      </c>
      <c r="D26" s="9" t="s">
        <v>458</v>
      </c>
    </row>
    <row r="27" spans="1:5" ht="115.2">
      <c r="A27" t="s">
        <v>459</v>
      </c>
      <c r="B27" s="8" t="s">
        <v>460</v>
      </c>
      <c r="C27" t="s">
        <v>461</v>
      </c>
      <c r="D27" s="7" t="s">
        <v>462</v>
      </c>
    </row>
    <row r="28" spans="1:5" ht="118.95" customHeight="1">
      <c r="A28" t="s">
        <v>463</v>
      </c>
      <c r="B28" s="8" t="s">
        <v>464</v>
      </c>
    </row>
    <row r="29" spans="1:5" ht="57.6">
      <c r="A29" s="4" t="s">
        <v>465</v>
      </c>
      <c r="B29" s="1" t="s">
        <v>466</v>
      </c>
      <c r="C29" t="s">
        <v>467</v>
      </c>
    </row>
    <row r="30" spans="1:5" ht="172.8">
      <c r="A30" t="s">
        <v>468</v>
      </c>
      <c r="B30" s="8" t="s">
        <v>469</v>
      </c>
      <c r="D30" s="7" t="s">
        <v>470</v>
      </c>
    </row>
    <row r="31" spans="1:5" ht="86.4">
      <c r="A31" t="s">
        <v>471</v>
      </c>
      <c r="B31" s="1" t="s">
        <v>472</v>
      </c>
      <c r="C31" t="s">
        <v>473</v>
      </c>
    </row>
    <row r="32" spans="1:5" ht="115.2">
      <c r="A32" t="s">
        <v>474</v>
      </c>
      <c r="B32" s="1" t="s">
        <v>475</v>
      </c>
      <c r="C32" t="s">
        <v>476</v>
      </c>
    </row>
    <row r="33" spans="1:4" ht="72">
      <c r="A33" s="4" t="s">
        <v>477</v>
      </c>
      <c r="B33" s="1" t="s">
        <v>478</v>
      </c>
      <c r="C33" t="s">
        <v>479</v>
      </c>
    </row>
    <row r="34" spans="1:4" ht="144">
      <c r="A34" t="s">
        <v>480</v>
      </c>
      <c r="B34" s="1" t="s">
        <v>481</v>
      </c>
      <c r="C34" t="s">
        <v>479</v>
      </c>
      <c r="D34" s="7" t="s">
        <v>482</v>
      </c>
    </row>
    <row r="35" spans="1:4" ht="130.19999999999999" customHeight="1">
      <c r="A35" s="4" t="s">
        <v>278</v>
      </c>
      <c r="B35" s="1" t="s">
        <v>483</v>
      </c>
      <c r="C35" t="s">
        <v>479</v>
      </c>
      <c r="D35" s="7" t="s">
        <v>482</v>
      </c>
    </row>
    <row r="36" spans="1:4" ht="75" customHeight="1">
      <c r="A36" s="4" t="s">
        <v>366</v>
      </c>
      <c r="B36" s="1"/>
      <c r="C36" t="s">
        <v>479</v>
      </c>
      <c r="D36" s="7" t="s">
        <v>482</v>
      </c>
    </row>
    <row r="37" spans="1:4" ht="115.2">
      <c r="A37" s="4" t="s">
        <v>484</v>
      </c>
      <c r="B37" s="1" t="s">
        <v>485</v>
      </c>
      <c r="C37" t="s">
        <v>479</v>
      </c>
      <c r="D37" s="7" t="s">
        <v>482</v>
      </c>
    </row>
    <row r="38" spans="1:4">
      <c r="A38" t="s">
        <v>486</v>
      </c>
      <c r="B38" s="8" t="s">
        <v>487</v>
      </c>
      <c r="C38" t="s">
        <v>479</v>
      </c>
      <c r="D38" s="7" t="s">
        <v>482</v>
      </c>
    </row>
    <row r="39" spans="1:4" ht="28.8">
      <c r="A39" t="s">
        <v>488</v>
      </c>
      <c r="B39" s="1" t="s">
        <v>489</v>
      </c>
      <c r="C39" t="s">
        <v>479</v>
      </c>
    </row>
    <row r="40" spans="1:4" ht="57.6">
      <c r="A40" s="4" t="s">
        <v>490</v>
      </c>
      <c r="B40" s="1" t="s">
        <v>491</v>
      </c>
      <c r="C40" t="s">
        <v>479</v>
      </c>
    </row>
    <row r="41" spans="1:4" ht="43.2">
      <c r="A41" t="s">
        <v>492</v>
      </c>
      <c r="B41" s="8" t="s">
        <v>493</v>
      </c>
      <c r="C41" t="s">
        <v>479</v>
      </c>
      <c r="D41" s="7" t="s">
        <v>482</v>
      </c>
    </row>
    <row r="42" spans="1:4" ht="57.6">
      <c r="A42" s="4" t="s">
        <v>280</v>
      </c>
      <c r="B42" s="1" t="s">
        <v>494</v>
      </c>
      <c r="C42" t="s">
        <v>467</v>
      </c>
    </row>
    <row r="43" spans="1:4" ht="28.8">
      <c r="A43" t="s">
        <v>495</v>
      </c>
      <c r="B43" s="1" t="s">
        <v>496</v>
      </c>
      <c r="C43" t="s">
        <v>467</v>
      </c>
    </row>
    <row r="44" spans="1:4" ht="86.4">
      <c r="A44" t="s">
        <v>279</v>
      </c>
      <c r="B44" s="1" t="s">
        <v>497</v>
      </c>
      <c r="C44" t="s">
        <v>467</v>
      </c>
    </row>
    <row r="45" spans="1:4" ht="129.6">
      <c r="A45" s="4" t="s">
        <v>498</v>
      </c>
      <c r="B45" s="1" t="s">
        <v>499</v>
      </c>
      <c r="C45" t="s">
        <v>500</v>
      </c>
    </row>
    <row r="46" spans="1:4" ht="72">
      <c r="A46" t="s">
        <v>271</v>
      </c>
      <c r="B46" s="1" t="s">
        <v>501</v>
      </c>
      <c r="C46" t="s">
        <v>502</v>
      </c>
    </row>
    <row r="47" spans="1:4" ht="72">
      <c r="A47" s="4" t="s">
        <v>503</v>
      </c>
      <c r="B47" s="1" t="s">
        <v>504</v>
      </c>
      <c r="C47" t="s">
        <v>502</v>
      </c>
    </row>
    <row r="48" spans="1:4" ht="72.599999999999994" customHeight="1">
      <c r="A48" t="s">
        <v>505</v>
      </c>
      <c r="B48" s="1" t="s">
        <v>506</v>
      </c>
      <c r="C48" t="s">
        <v>502</v>
      </c>
    </row>
    <row r="49" spans="1:4">
      <c r="A49" t="s">
        <v>507</v>
      </c>
      <c r="B49" s="8" t="s">
        <v>508</v>
      </c>
    </row>
    <row r="50" spans="1:4">
      <c r="A50" t="s">
        <v>509</v>
      </c>
      <c r="B50" s="8" t="s">
        <v>510</v>
      </c>
      <c r="D50" s="7" t="s">
        <v>511</v>
      </c>
    </row>
    <row r="51" spans="1:4" ht="28.8">
      <c r="A51" t="s">
        <v>512</v>
      </c>
      <c r="B51" s="8" t="s">
        <v>513</v>
      </c>
      <c r="D51" s="7" t="s">
        <v>511</v>
      </c>
    </row>
    <row r="52" spans="1:4">
      <c r="A52" t="s">
        <v>514</v>
      </c>
      <c r="B52" s="8" t="s">
        <v>515</v>
      </c>
      <c r="D52" s="7" t="s">
        <v>516</v>
      </c>
    </row>
    <row r="53" spans="1:4" ht="57.6">
      <c r="A53" s="1" t="s">
        <v>517</v>
      </c>
      <c r="B53" s="1" t="s">
        <v>518</v>
      </c>
    </row>
    <row r="54" spans="1:4">
      <c r="A54" t="s">
        <v>519</v>
      </c>
      <c r="B54" t="s">
        <v>520</v>
      </c>
    </row>
    <row r="55" spans="1:4">
      <c r="A55" t="s">
        <v>521</v>
      </c>
      <c r="B55" s="1" t="s">
        <v>522</v>
      </c>
    </row>
    <row r="56" spans="1:4">
      <c r="A56" t="s">
        <v>523</v>
      </c>
      <c r="B56" s="1" t="s">
        <v>522</v>
      </c>
    </row>
    <row r="57" spans="1:4" ht="43.2">
      <c r="A57" t="s">
        <v>524</v>
      </c>
      <c r="B57" s="8" t="s">
        <v>525</v>
      </c>
    </row>
    <row r="58" spans="1:4">
      <c r="A58" t="s">
        <v>526</v>
      </c>
      <c r="B58" s="1" t="s">
        <v>527</v>
      </c>
    </row>
    <row r="59" spans="1:4">
      <c r="A59" t="s">
        <v>528</v>
      </c>
      <c r="B59" s="1" t="s">
        <v>529</v>
      </c>
    </row>
    <row r="60" spans="1:4">
      <c r="A60" t="s">
        <v>530</v>
      </c>
      <c r="B60" s="8" t="s">
        <v>531</v>
      </c>
      <c r="D60" s="7" t="s">
        <v>511</v>
      </c>
    </row>
    <row r="61" spans="1:4" ht="28.8">
      <c r="A61" t="s">
        <v>532</v>
      </c>
      <c r="B61" s="8" t="s">
        <v>533</v>
      </c>
      <c r="D61" s="7" t="s">
        <v>511</v>
      </c>
    </row>
    <row r="62" spans="1:4" ht="28.8">
      <c r="A62" t="s">
        <v>534</v>
      </c>
      <c r="B62" s="8" t="s">
        <v>535</v>
      </c>
      <c r="D62" s="9" t="s">
        <v>536</v>
      </c>
    </row>
    <row r="63" spans="1:4" ht="115.2">
      <c r="A63" t="s">
        <v>537</v>
      </c>
      <c r="B63" s="1" t="s">
        <v>538</v>
      </c>
    </row>
    <row r="64" spans="1:4">
      <c r="A64" t="s">
        <v>539</v>
      </c>
      <c r="B64" s="1" t="s">
        <v>540</v>
      </c>
      <c r="D64" s="7" t="s">
        <v>540</v>
      </c>
    </row>
  </sheetData>
  <autoFilter ref="A24:G64" xr:uid="{2A669BA4-4FF7-4EC8-80BC-518A6F6BF820}"/>
  <mergeCells count="3">
    <mergeCell ref="C12:C15"/>
    <mergeCell ref="A1:B1"/>
    <mergeCell ref="C1:D1"/>
  </mergeCells>
  <hyperlinks>
    <hyperlink ref="D64" r:id="rId1" xr:uid="{156D0B2F-2E07-4791-9259-FE3DFBA2F11A}"/>
    <hyperlink ref="D30" r:id="rId2" xr:uid="{5192A40F-0927-40AF-8F94-9BD135398CDE}"/>
    <hyperlink ref="D27" r:id="rId3" xr:uid="{B46AB780-02A9-4936-919D-E14DA2866BB0}"/>
    <hyperlink ref="D50" r:id="rId4" xr:uid="{7AF074F8-213F-40EB-BA89-D4205C3C72C5}"/>
    <hyperlink ref="D51" r:id="rId5" xr:uid="{69C4B90D-2C1A-4B42-85E8-746DA0A225CD}"/>
    <hyperlink ref="D60" r:id="rId6" xr:uid="{11D32D6B-70C9-4C81-90DA-4E9556C17FA3}"/>
    <hyperlink ref="D62" r:id="rId7" display="https://www.youtube.com/watch?v=924-bji0I6Y" xr:uid="{1ABF7D5D-E47A-40E9-8DA6-89CCDB6DBCE4}"/>
    <hyperlink ref="D61" r:id="rId8" xr:uid="{AD33B2F0-0335-47CE-99D0-C4BEEDB436D7}"/>
    <hyperlink ref="D52" r:id="rId9" xr:uid="{9508E108-0218-4A44-89D1-D69773D4B259}"/>
    <hyperlink ref="D34" r:id="rId10" xr:uid="{778B3857-B878-4EA0-904A-9A321DF042E9}"/>
    <hyperlink ref="D37" r:id="rId11" xr:uid="{099F628A-8FB1-493E-AA81-A45D41FD7A0D}"/>
    <hyperlink ref="D35" r:id="rId12" xr:uid="{D10F97E7-E9E2-444A-8039-9132128BB9F6}"/>
    <hyperlink ref="D41" r:id="rId13" xr:uid="{3ED45BCA-8621-4384-B1B6-BD08B661D79D}"/>
    <hyperlink ref="D36" r:id="rId14" xr:uid="{6DB0C239-3F1C-458B-80BA-7C6EBCF2216E}"/>
    <hyperlink ref="D38" r:id="rId15" xr:uid="{FEB7CE73-D829-4010-8AB3-B15D3265E599}"/>
    <hyperlink ref="D26" r:id="rId16" xr:uid="{7FA39E40-8993-4994-B0FD-CDB407586263}"/>
  </hyperlinks>
  <pageMargins left="0.7" right="0.7" top="0.75" bottom="0.75" header="0.3" footer="0.3"/>
  <pageSetup orientation="portrait" horizontalDpi="300" verticalDpi="300" r:id="rId1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287EE-E7D6-473A-948D-80481FF89D01}">
  <dimension ref="A1:W41"/>
  <sheetViews>
    <sheetView topLeftCell="A22" workbookViewId="0">
      <selection activeCell="Q5" sqref="Q5"/>
    </sheetView>
  </sheetViews>
  <sheetFormatPr defaultRowHeight="14.4"/>
  <cols>
    <col min="1" max="1" width="12.5546875" bestFit="1" customWidth="1"/>
    <col min="2" max="2" width="10.6640625" bestFit="1" customWidth="1"/>
  </cols>
  <sheetData>
    <row r="1" spans="1:17">
      <c r="A1" s="7" t="s">
        <v>541</v>
      </c>
      <c r="F1" t="s">
        <v>542</v>
      </c>
      <c r="H1" t="s">
        <v>543</v>
      </c>
    </row>
    <row r="2" spans="1:17">
      <c r="O2" t="s">
        <v>544</v>
      </c>
    </row>
    <row r="3" spans="1:17">
      <c r="O3" t="s">
        <v>545</v>
      </c>
    </row>
    <row r="5" spans="1:17">
      <c r="O5" t="s">
        <v>546</v>
      </c>
      <c r="P5" t="s">
        <v>547</v>
      </c>
      <c r="Q5" t="s">
        <v>548</v>
      </c>
    </row>
    <row r="6" spans="1:17">
      <c r="Q6" t="s">
        <v>549</v>
      </c>
    </row>
    <row r="7" spans="1:17">
      <c r="Q7" t="s">
        <v>550</v>
      </c>
    </row>
    <row r="8" spans="1:17">
      <c r="Q8" t="s">
        <v>551</v>
      </c>
    </row>
    <row r="9" spans="1:17">
      <c r="Q9" t="s">
        <v>552</v>
      </c>
    </row>
    <row r="23" spans="1:23">
      <c r="A23" s="145" t="s">
        <v>553</v>
      </c>
      <c r="B23" s="145"/>
      <c r="C23" s="145"/>
      <c r="D23" s="145"/>
      <c r="E23" s="145"/>
      <c r="F23" s="145"/>
      <c r="G23" s="145"/>
      <c r="H23" s="145"/>
      <c r="I23" s="145"/>
      <c r="J23" s="145"/>
      <c r="K23" s="145"/>
      <c r="L23" s="145"/>
      <c r="M23" s="145"/>
      <c r="N23" s="145"/>
      <c r="O23" s="145"/>
      <c r="P23" s="145"/>
      <c r="Q23" s="145"/>
      <c r="R23" s="145"/>
      <c r="S23" s="145"/>
      <c r="T23" s="145"/>
      <c r="U23" s="145"/>
      <c r="V23" s="145"/>
      <c r="W23" s="145"/>
    </row>
    <row r="24" spans="1:23">
      <c r="A24" s="145" t="s">
        <v>554</v>
      </c>
      <c r="B24" s="145"/>
      <c r="C24" s="145"/>
      <c r="D24" s="145"/>
      <c r="E24" s="145"/>
      <c r="F24" s="145"/>
      <c r="G24" s="145"/>
      <c r="H24" s="145"/>
      <c r="I24" s="145"/>
      <c r="J24" s="145"/>
      <c r="K24" s="145"/>
      <c r="L24" s="145"/>
      <c r="M24" s="145"/>
      <c r="N24" s="145"/>
      <c r="O24" s="145"/>
      <c r="P24" s="145"/>
      <c r="Q24" s="145"/>
      <c r="R24" s="145"/>
      <c r="S24" s="145"/>
      <c r="T24" s="145"/>
      <c r="U24" s="145"/>
      <c r="V24" s="145"/>
      <c r="W24" s="145"/>
    </row>
    <row r="25" spans="1:23">
      <c r="A25" s="145" t="s">
        <v>555</v>
      </c>
      <c r="B25" s="145"/>
      <c r="C25" s="145"/>
      <c r="D25" s="145"/>
      <c r="E25" s="145"/>
      <c r="F25" s="145"/>
      <c r="G25" s="145"/>
      <c r="H25" s="145"/>
      <c r="I25" s="145"/>
      <c r="J25" s="145"/>
      <c r="K25" s="145"/>
      <c r="L25" s="145"/>
      <c r="M25" s="145"/>
      <c r="N25" s="145"/>
      <c r="O25" s="145"/>
      <c r="P25" s="145"/>
      <c r="Q25" s="145"/>
      <c r="R25" s="145"/>
      <c r="S25" s="145"/>
      <c r="T25" s="145"/>
      <c r="U25" s="145"/>
      <c r="V25" s="145"/>
      <c r="W25" s="145"/>
    </row>
    <row r="26" spans="1:23">
      <c r="A26" s="145" t="s">
        <v>556</v>
      </c>
      <c r="B26" s="145"/>
      <c r="C26" s="145"/>
      <c r="D26" s="145"/>
      <c r="E26" s="145"/>
      <c r="F26" s="145"/>
      <c r="G26" s="145"/>
      <c r="H26" s="145"/>
      <c r="I26" s="145"/>
      <c r="J26" s="145"/>
      <c r="K26" s="145"/>
      <c r="L26" s="145"/>
      <c r="M26" s="145"/>
      <c r="N26" s="145"/>
      <c r="O26" s="145"/>
      <c r="P26" s="145"/>
      <c r="Q26" s="145"/>
      <c r="R26" s="145"/>
      <c r="S26" s="145"/>
      <c r="T26" s="145"/>
      <c r="U26" s="145"/>
      <c r="V26" s="145"/>
      <c r="W26" s="145"/>
    </row>
    <row r="27" spans="1:23">
      <c r="A27" s="145" t="s">
        <v>557</v>
      </c>
      <c r="B27" s="145"/>
      <c r="C27" s="145"/>
      <c r="D27" s="145"/>
      <c r="E27" s="145"/>
      <c r="F27" s="145"/>
      <c r="G27" s="145"/>
      <c r="H27" s="145"/>
      <c r="I27" s="145"/>
      <c r="J27" s="145"/>
      <c r="K27" s="145"/>
      <c r="L27" s="145"/>
      <c r="M27" s="145"/>
      <c r="N27" s="145"/>
      <c r="O27" s="145"/>
      <c r="P27" s="145"/>
      <c r="Q27" s="145"/>
      <c r="R27" s="145"/>
      <c r="S27" s="145"/>
      <c r="T27" s="145"/>
      <c r="U27" s="145"/>
      <c r="V27" s="145"/>
      <c r="W27" s="145"/>
    </row>
    <row r="28" spans="1:23">
      <c r="A28" s="145" t="s">
        <v>558</v>
      </c>
      <c r="B28" s="145"/>
      <c r="C28" s="145"/>
      <c r="D28" s="145"/>
      <c r="E28" s="145"/>
      <c r="F28" s="145"/>
      <c r="G28" s="145"/>
      <c r="H28" s="145"/>
      <c r="I28" s="145"/>
      <c r="J28" s="145"/>
      <c r="K28" s="145"/>
      <c r="L28" s="145"/>
      <c r="M28" s="145"/>
      <c r="N28" s="145"/>
      <c r="O28" s="145"/>
      <c r="P28" s="145"/>
      <c r="Q28" s="145"/>
      <c r="R28" s="145"/>
      <c r="S28" s="145"/>
      <c r="T28" s="145"/>
      <c r="U28" s="145"/>
      <c r="V28" s="145"/>
      <c r="W28" s="145"/>
    </row>
    <row r="30" spans="1:23">
      <c r="A30" s="146" t="s">
        <v>559</v>
      </c>
      <c r="B30" s="146"/>
      <c r="C30" s="147" t="s">
        <v>560</v>
      </c>
      <c r="D30" s="147"/>
    </row>
    <row r="31" spans="1:23">
      <c r="A31" s="146" t="s">
        <v>561</v>
      </c>
      <c r="B31" s="146"/>
      <c r="C31" s="147" t="s">
        <v>562</v>
      </c>
      <c r="D31" s="147"/>
    </row>
    <row r="32" spans="1:23">
      <c r="A32" s="146" t="s">
        <v>563</v>
      </c>
      <c r="B32" s="146"/>
      <c r="C32" s="147" t="s">
        <v>95</v>
      </c>
      <c r="D32" s="147"/>
    </row>
    <row r="33" spans="1:23">
      <c r="A33" s="146" t="s">
        <v>564</v>
      </c>
      <c r="B33" s="146"/>
      <c r="C33" s="147" t="s">
        <v>565</v>
      </c>
      <c r="D33" s="147"/>
    </row>
    <row r="34" spans="1:23">
      <c r="A34" s="146" t="s">
        <v>566</v>
      </c>
      <c r="B34" s="146"/>
      <c r="C34" s="147" t="s">
        <v>567</v>
      </c>
      <c r="D34" s="147"/>
    </row>
    <row r="36" spans="1:23">
      <c r="A36" s="10" t="s">
        <v>189</v>
      </c>
      <c r="J36" s="2"/>
      <c r="K36" s="16"/>
      <c r="L36" s="16"/>
      <c r="M36" s="16"/>
      <c r="N36" s="16"/>
      <c r="P36" s="41"/>
      <c r="Q36" s="41"/>
      <c r="R36" s="41"/>
      <c r="S36" s="41"/>
    </row>
    <row r="37" spans="1:23">
      <c r="A37" s="145" t="s">
        <v>568</v>
      </c>
      <c r="B37" s="145"/>
      <c r="C37" s="145"/>
      <c r="D37" s="145"/>
      <c r="E37" s="145"/>
      <c r="F37" s="145"/>
      <c r="G37" s="145"/>
      <c r="H37" s="145"/>
      <c r="I37" s="145"/>
      <c r="J37" s="145"/>
      <c r="K37" s="145"/>
      <c r="L37" s="145"/>
      <c r="M37" s="145"/>
      <c r="N37" s="145"/>
      <c r="O37" s="145"/>
      <c r="P37" s="145"/>
      <c r="Q37" s="145"/>
      <c r="R37" s="145"/>
      <c r="S37" s="145"/>
      <c r="T37" s="145"/>
      <c r="U37" s="145"/>
      <c r="V37" s="145"/>
      <c r="W37" s="145"/>
    </row>
    <row r="38" spans="1:23">
      <c r="A38" s="145" t="s">
        <v>569</v>
      </c>
      <c r="B38" s="145"/>
      <c r="C38" s="145"/>
      <c r="D38" s="145"/>
      <c r="E38" s="145"/>
      <c r="F38" s="145"/>
      <c r="G38" s="145"/>
      <c r="H38" s="145"/>
      <c r="I38" s="145"/>
      <c r="J38" s="145"/>
      <c r="K38" s="145"/>
      <c r="L38" s="145"/>
      <c r="M38" s="145"/>
      <c r="N38" s="145"/>
      <c r="O38" s="145"/>
      <c r="P38" s="145"/>
      <c r="Q38" s="145"/>
      <c r="R38" s="145"/>
      <c r="S38" s="145"/>
      <c r="T38" s="145"/>
      <c r="U38" s="145"/>
      <c r="V38" s="145"/>
      <c r="W38" s="145"/>
    </row>
    <row r="39" spans="1:23">
      <c r="A39" s="145" t="s">
        <v>570</v>
      </c>
      <c r="B39" s="145"/>
      <c r="C39" s="145"/>
      <c r="D39" s="145"/>
      <c r="E39" s="145"/>
      <c r="F39" s="145"/>
      <c r="G39" s="145"/>
      <c r="H39" s="145"/>
      <c r="I39" s="145"/>
      <c r="J39" s="145"/>
      <c r="K39" s="145"/>
      <c r="L39" s="145"/>
      <c r="M39" s="145"/>
      <c r="N39" s="145"/>
      <c r="O39" s="145"/>
      <c r="P39" s="145"/>
      <c r="Q39" s="145"/>
      <c r="R39" s="145"/>
      <c r="S39" s="145"/>
      <c r="T39" s="145"/>
      <c r="U39" s="145"/>
      <c r="V39" s="145"/>
      <c r="W39" s="145"/>
    </row>
    <row r="41" spans="1:23">
      <c r="A41" s="145" t="s">
        <v>571</v>
      </c>
      <c r="B41" s="145"/>
      <c r="C41" s="145"/>
      <c r="D41" s="145"/>
      <c r="E41" s="145"/>
      <c r="F41" s="145"/>
      <c r="G41" s="145"/>
      <c r="H41" s="145"/>
      <c r="I41" s="145"/>
      <c r="J41" s="145"/>
      <c r="K41" s="145"/>
      <c r="L41" s="145"/>
      <c r="M41" s="145"/>
      <c r="N41" s="145"/>
      <c r="O41" s="145"/>
      <c r="P41" s="145"/>
      <c r="Q41" s="145"/>
      <c r="R41" s="145"/>
      <c r="S41" s="145"/>
      <c r="T41" s="145"/>
      <c r="U41" s="145"/>
      <c r="V41" s="145"/>
      <c r="W41" s="145"/>
    </row>
  </sheetData>
  <mergeCells count="20">
    <mergeCell ref="A28:W28"/>
    <mergeCell ref="A23:W23"/>
    <mergeCell ref="A24:W24"/>
    <mergeCell ref="A25:W25"/>
    <mergeCell ref="A26:W26"/>
    <mergeCell ref="A27:W27"/>
    <mergeCell ref="A41:W41"/>
    <mergeCell ref="A39:W39"/>
    <mergeCell ref="A38:W38"/>
    <mergeCell ref="A34:B34"/>
    <mergeCell ref="C34:D34"/>
    <mergeCell ref="A37:W37"/>
    <mergeCell ref="A30:B30"/>
    <mergeCell ref="A31:B31"/>
    <mergeCell ref="A32:B32"/>
    <mergeCell ref="A33:B33"/>
    <mergeCell ref="C30:D30"/>
    <mergeCell ref="C31:D31"/>
    <mergeCell ref="C32:D32"/>
    <mergeCell ref="C33:D33"/>
  </mergeCells>
  <hyperlinks>
    <hyperlink ref="A1" r:id="rId1" xr:uid="{FAFDDC24-5F96-4B84-98A5-F5626043C96A}"/>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02723-122E-4071-8466-9CCF52A22403}">
  <dimension ref="A1:D8"/>
  <sheetViews>
    <sheetView workbookViewId="0">
      <pane ySplit="1" topLeftCell="A4" activePane="bottomLeft" state="frozen"/>
      <selection pane="bottomLeft" activeCell="C4" sqref="C4"/>
    </sheetView>
  </sheetViews>
  <sheetFormatPr defaultRowHeight="14.4"/>
  <cols>
    <col min="1" max="1" width="30.6640625" customWidth="1"/>
    <col min="2" max="2" width="82.33203125" customWidth="1"/>
    <col min="3" max="3" width="85.33203125" customWidth="1"/>
    <col min="4" max="4" width="52.44140625" customWidth="1"/>
  </cols>
  <sheetData>
    <row r="1" spans="1:4">
      <c r="A1" s="10" t="s">
        <v>572</v>
      </c>
      <c r="B1" s="10" t="s">
        <v>573</v>
      </c>
      <c r="C1" s="10" t="s">
        <v>574</v>
      </c>
      <c r="D1" s="10" t="s">
        <v>575</v>
      </c>
    </row>
    <row r="2" spans="1:4" ht="280.2" customHeight="1">
      <c r="A2" s="1" t="s">
        <v>576</v>
      </c>
      <c r="B2" s="1" t="s">
        <v>577</v>
      </c>
      <c r="C2" s="1" t="s">
        <v>578</v>
      </c>
      <c r="D2" s="1"/>
    </row>
    <row r="3" spans="1:4" ht="27" customHeight="1">
      <c r="A3" s="1" t="s">
        <v>579</v>
      </c>
      <c r="B3" s="1" t="s">
        <v>580</v>
      </c>
      <c r="C3" s="1"/>
      <c r="D3" s="1"/>
    </row>
    <row r="4" spans="1:4" ht="367.2" customHeight="1">
      <c r="A4" s="1" t="s">
        <v>581</v>
      </c>
      <c r="B4" s="1" t="s">
        <v>582</v>
      </c>
      <c r="C4" s="1" t="s">
        <v>583</v>
      </c>
    </row>
    <row r="5" spans="1:4" ht="409.6">
      <c r="A5" s="1" t="s">
        <v>584</v>
      </c>
      <c r="B5" s="1" t="s">
        <v>585</v>
      </c>
      <c r="C5" s="1" t="s">
        <v>586</v>
      </c>
    </row>
    <row r="6" spans="1:4" ht="403.2">
      <c r="A6" s="1" t="s">
        <v>587</v>
      </c>
      <c r="B6" s="1" t="s">
        <v>588</v>
      </c>
      <c r="C6" s="1" t="s">
        <v>589</v>
      </c>
      <c r="D6" s="1" t="s">
        <v>590</v>
      </c>
    </row>
    <row r="7" spans="1:4" ht="346.95" customHeight="1">
      <c r="A7" s="1" t="s">
        <v>591</v>
      </c>
      <c r="B7" s="1" t="s">
        <v>592</v>
      </c>
      <c r="C7" s="1" t="s">
        <v>593</v>
      </c>
      <c r="D7" s="1" t="s">
        <v>594</v>
      </c>
    </row>
    <row r="8" spans="1:4" ht="345" customHeight="1">
      <c r="A8" t="s">
        <v>595</v>
      </c>
      <c r="B8" s="1" t="s">
        <v>596</v>
      </c>
      <c r="C8" s="1" t="s">
        <v>597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E99E-1347-4FFA-B5D0-C11859890300}">
  <dimension ref="A2:B29"/>
  <sheetViews>
    <sheetView workbookViewId="0">
      <selection activeCell="F6" sqref="F6"/>
    </sheetView>
  </sheetViews>
  <sheetFormatPr defaultRowHeight="14.4"/>
  <cols>
    <col min="1" max="1" width="24.109375" customWidth="1"/>
    <col min="2" max="2" width="86.6640625" customWidth="1"/>
  </cols>
  <sheetData>
    <row r="2" spans="1:2">
      <c r="A2" t="s">
        <v>598</v>
      </c>
      <c r="B2" s="7" t="s">
        <v>599</v>
      </c>
    </row>
    <row r="3" spans="1:2">
      <c r="A3" t="s">
        <v>600</v>
      </c>
      <c r="B3" s="7" t="s">
        <v>601</v>
      </c>
    </row>
    <row r="4" spans="1:2">
      <c r="B4" s="7"/>
    </row>
    <row r="5" spans="1:2">
      <c r="A5" t="s">
        <v>602</v>
      </c>
      <c r="B5" s="7" t="s">
        <v>603</v>
      </c>
    </row>
    <row r="6" spans="1:2">
      <c r="A6" t="s">
        <v>265</v>
      </c>
      <c r="B6" s="7" t="s">
        <v>604</v>
      </c>
    </row>
    <row r="8" spans="1:2">
      <c r="A8" t="s">
        <v>605</v>
      </c>
      <c r="B8" s="7" t="s">
        <v>606</v>
      </c>
    </row>
    <row r="9" spans="1:2">
      <c r="A9" t="s">
        <v>607</v>
      </c>
      <c r="B9" s="7" t="s">
        <v>608</v>
      </c>
    </row>
    <row r="10" spans="1:2" ht="15" customHeight="1">
      <c r="A10" t="s">
        <v>609</v>
      </c>
      <c r="B10" s="7" t="s">
        <v>610</v>
      </c>
    </row>
    <row r="11" spans="1:2" ht="15" customHeight="1">
      <c r="B11" s="7"/>
    </row>
    <row r="12" spans="1:2">
      <c r="A12" t="s">
        <v>611</v>
      </c>
      <c r="B12" s="7" t="s">
        <v>612</v>
      </c>
    </row>
    <row r="14" spans="1:2">
      <c r="A14" t="s">
        <v>613</v>
      </c>
      <c r="B14" s="7" t="s">
        <v>614</v>
      </c>
    </row>
    <row r="15" spans="1:2">
      <c r="B15" s="7" t="s">
        <v>615</v>
      </c>
    </row>
    <row r="16" spans="1:2">
      <c r="B16" s="7" t="s">
        <v>616</v>
      </c>
    </row>
    <row r="17" spans="1:2">
      <c r="B17" s="7" t="s">
        <v>617</v>
      </c>
    </row>
    <row r="18" spans="1:2">
      <c r="B18" s="7" t="s">
        <v>618</v>
      </c>
    </row>
    <row r="19" spans="1:2">
      <c r="B19" s="7" t="s">
        <v>619</v>
      </c>
    </row>
    <row r="20" spans="1:2">
      <c r="B20" s="7" t="s">
        <v>620</v>
      </c>
    </row>
    <row r="21" spans="1:2">
      <c r="B21" s="7" t="s">
        <v>621</v>
      </c>
    </row>
    <row r="22" spans="1:2">
      <c r="B22" s="7" t="s">
        <v>622</v>
      </c>
    </row>
    <row r="23" spans="1:2">
      <c r="A23" t="s">
        <v>623</v>
      </c>
      <c r="B23" s="7" t="s">
        <v>624</v>
      </c>
    </row>
    <row r="25" spans="1:2">
      <c r="A25" t="s">
        <v>625</v>
      </c>
      <c r="B25" s="7" t="s">
        <v>626</v>
      </c>
    </row>
    <row r="27" spans="1:2">
      <c r="A27" t="s">
        <v>627</v>
      </c>
      <c r="B27" s="7" t="s">
        <v>628</v>
      </c>
    </row>
    <row r="28" spans="1:2">
      <c r="A28" t="s">
        <v>629</v>
      </c>
      <c r="B28" s="7" t="s">
        <v>630</v>
      </c>
    </row>
    <row r="29" spans="1:2">
      <c r="A29" t="s">
        <v>631</v>
      </c>
      <c r="B29" s="7" t="s">
        <v>632</v>
      </c>
    </row>
  </sheetData>
  <hyperlinks>
    <hyperlink ref="B5" r:id="rId1" xr:uid="{83692EE6-A1F9-4717-B7E7-669820808C89}"/>
    <hyperlink ref="B6" r:id="rId2" xr:uid="{F42E05F4-75F1-45D4-B6CC-06F94B036167}"/>
    <hyperlink ref="B8" r:id="rId3" xr:uid="{AE5B9A72-399D-4712-B226-0D3CFDF69C49}"/>
    <hyperlink ref="B9" r:id="rId4" xr:uid="{F860D8FA-AAFC-408F-B825-701C0D9BB4F5}"/>
    <hyperlink ref="B12" r:id="rId5" xr:uid="{0D85D9FC-9300-4556-AEF3-C93CFB30ED33}"/>
    <hyperlink ref="B15" r:id="rId6" xr:uid="{7E9CDF4E-C840-44B4-99CC-478B6A7B818E}"/>
    <hyperlink ref="B16" r:id="rId7" xr:uid="{12090B9B-3607-4048-9C9D-C66EBC1370EA}"/>
    <hyperlink ref="B17" r:id="rId8" xr:uid="{2E1E39CE-B9B2-48E2-A344-30566EE921E4}"/>
    <hyperlink ref="B18" r:id="rId9" xr:uid="{F0AABD01-A24B-407D-9ECB-0D5B749D385C}"/>
    <hyperlink ref="B19" r:id="rId10" xr:uid="{A5FE2658-B316-4541-85E1-0BD99DCDC762}"/>
    <hyperlink ref="B20" r:id="rId11" xr:uid="{64D1F8E2-1549-4DF3-93BF-62299C148764}"/>
    <hyperlink ref="B21" r:id="rId12" xr:uid="{D71F4266-09D8-4580-BD6D-6DE8874E34E6}"/>
    <hyperlink ref="B22" r:id="rId13" xr:uid="{B310B6FC-2299-494E-8F99-78E8FF30F258}"/>
    <hyperlink ref="B23" r:id="rId14" xr:uid="{CFE7BBF1-6D1B-4515-AB8F-BF5C359DEA74}"/>
    <hyperlink ref="B25" r:id="rId15" xr:uid="{7B609013-9E5C-40C9-9AED-DB5D00EE8F79}"/>
    <hyperlink ref="B2" r:id="rId16" xr:uid="{C8534776-DB6D-4D4B-B78F-53F5DC0A98DA}"/>
    <hyperlink ref="B3" r:id="rId17" xr:uid="{48273755-51B3-4CFB-ADB3-83EFDBA07509}"/>
    <hyperlink ref="B14" r:id="rId18" xr:uid="{AD29C984-FBDC-40E7-94FB-6D29F42D9776}"/>
    <hyperlink ref="B27" r:id="rId19" xr:uid="{36D2404C-0868-4254-ABC3-508A6E4120B7}"/>
    <hyperlink ref="B28" r:id="rId20" xr:uid="{F7EBAC2B-2458-4E44-B4CE-FDF2F95C13B2}"/>
    <hyperlink ref="B29" r:id="rId21" xr:uid="{819A0883-78A3-4C55-AF56-5EA1662D83F4}"/>
    <hyperlink ref="B10" r:id="rId22" xr:uid="{82C0B9CF-E3DE-47C7-AE6E-6D17E8FECD3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B4895-FC82-48A7-B256-E3E997651AA0}">
  <dimension ref="B1:R85"/>
  <sheetViews>
    <sheetView workbookViewId="0">
      <selection activeCell="N13" sqref="N13"/>
    </sheetView>
  </sheetViews>
  <sheetFormatPr defaultRowHeight="14.4"/>
  <cols>
    <col min="2" max="2" width="20.6640625" customWidth="1"/>
    <col min="3" max="3" width="10.6640625" style="16" customWidth="1"/>
    <col min="4" max="4" width="9.88671875" customWidth="1"/>
    <col min="5" max="5" width="8.33203125" bestFit="1" customWidth="1"/>
    <col min="17" max="17" width="16.6640625" customWidth="1"/>
    <col min="18" max="18" width="17.5546875" bestFit="1" customWidth="1"/>
  </cols>
  <sheetData>
    <row r="1" spans="2:18">
      <c r="C1" s="119" t="s">
        <v>633</v>
      </c>
      <c r="D1" s="119" t="s">
        <v>267</v>
      </c>
      <c r="E1" s="119" t="s">
        <v>634</v>
      </c>
      <c r="F1" s="119" t="s">
        <v>268</v>
      </c>
      <c r="G1" s="119" t="s">
        <v>269</v>
      </c>
      <c r="H1" s="119" t="s">
        <v>270</v>
      </c>
      <c r="I1" s="119" t="s">
        <v>271</v>
      </c>
      <c r="J1" s="119" t="s">
        <v>272</v>
      </c>
      <c r="K1" s="119" t="s">
        <v>273</v>
      </c>
      <c r="L1" s="119" t="s">
        <v>274</v>
      </c>
      <c r="M1" s="119" t="s">
        <v>275</v>
      </c>
      <c r="N1" s="119" t="s">
        <v>276</v>
      </c>
      <c r="O1" s="119" t="s">
        <v>277</v>
      </c>
      <c r="P1" s="119" t="s">
        <v>278</v>
      </c>
      <c r="Q1" s="119" t="s">
        <v>635</v>
      </c>
      <c r="R1" s="119" t="s">
        <v>636</v>
      </c>
    </row>
    <row r="2" spans="2:18">
      <c r="B2" t="s">
        <v>637</v>
      </c>
      <c r="C2" s="142" t="s">
        <v>638</v>
      </c>
      <c r="D2" s="142"/>
      <c r="E2" s="119"/>
      <c r="F2" s="119"/>
      <c r="G2" s="119"/>
      <c r="H2" s="119"/>
      <c r="I2" s="119"/>
      <c r="J2" s="119"/>
      <c r="K2" s="119"/>
      <c r="L2" s="119"/>
      <c r="M2" s="119"/>
      <c r="N2" s="119"/>
      <c r="O2" s="119"/>
      <c r="P2" s="119"/>
      <c r="Q2" s="119"/>
      <c r="R2" s="119"/>
    </row>
    <row r="3" spans="2:18">
      <c r="B3" t="s">
        <v>639</v>
      </c>
      <c r="C3" s="142" t="s">
        <v>640</v>
      </c>
      <c r="D3" s="142"/>
    </row>
    <row r="4" spans="2:18">
      <c r="B4" t="s">
        <v>641</v>
      </c>
      <c r="C4" s="2"/>
    </row>
    <row r="5" spans="2:18">
      <c r="B5" t="s">
        <v>642</v>
      </c>
      <c r="C5" s="2"/>
    </row>
    <row r="6" spans="2:18">
      <c r="B6" t="s">
        <v>643</v>
      </c>
      <c r="C6" s="142" t="s">
        <v>638</v>
      </c>
      <c r="D6" s="142"/>
    </row>
    <row r="7" spans="2:18">
      <c r="B7" t="s">
        <v>644</v>
      </c>
      <c r="C7" s="142" t="s">
        <v>645</v>
      </c>
      <c r="D7" s="142"/>
    </row>
    <row r="8" spans="2:18">
      <c r="B8" t="s">
        <v>646</v>
      </c>
      <c r="C8" s="142" t="s">
        <v>638</v>
      </c>
      <c r="D8" s="142"/>
    </row>
    <row r="9" spans="2:18">
      <c r="B9" t="s">
        <v>647</v>
      </c>
      <c r="C9" s="142" t="s">
        <v>638</v>
      </c>
      <c r="D9" s="142"/>
    </row>
    <row r="10" spans="2:18">
      <c r="B10" t="s">
        <v>648</v>
      </c>
      <c r="C10" s="142" t="s">
        <v>638</v>
      </c>
      <c r="D10" s="142"/>
    </row>
    <row r="11" spans="2:18">
      <c r="B11" t="s">
        <v>649</v>
      </c>
      <c r="C11" s="142" t="s">
        <v>638</v>
      </c>
      <c r="D11" s="142"/>
    </row>
    <row r="12" spans="2:18">
      <c r="B12" t="s">
        <v>650</v>
      </c>
      <c r="C12" s="142" t="s">
        <v>638</v>
      </c>
      <c r="D12" s="142"/>
    </row>
    <row r="13" spans="2:18">
      <c r="B13" t="s">
        <v>651</v>
      </c>
      <c r="C13" s="142" t="s">
        <v>638</v>
      </c>
      <c r="D13" s="142"/>
    </row>
    <row r="14" spans="2:18">
      <c r="B14" t="s">
        <v>652</v>
      </c>
      <c r="C14" s="142" t="s">
        <v>638</v>
      </c>
      <c r="D14" s="142"/>
    </row>
    <row r="15" spans="2:18">
      <c r="B15" t="s">
        <v>653</v>
      </c>
      <c r="C15" s="142" t="s">
        <v>638</v>
      </c>
      <c r="D15" s="142"/>
    </row>
    <row r="16" spans="2:18">
      <c r="B16" t="s">
        <v>654</v>
      </c>
      <c r="C16" s="142" t="s">
        <v>638</v>
      </c>
      <c r="D16" s="142"/>
    </row>
    <row r="17" spans="2:4">
      <c r="B17" t="s">
        <v>655</v>
      </c>
      <c r="C17" s="142" t="s">
        <v>638</v>
      </c>
      <c r="D17" s="142"/>
    </row>
    <row r="18" spans="2:4">
      <c r="B18" t="s">
        <v>656</v>
      </c>
      <c r="C18" s="142" t="s">
        <v>638</v>
      </c>
      <c r="D18" s="142"/>
    </row>
    <row r="19" spans="2:4">
      <c r="B19" t="s">
        <v>657</v>
      </c>
      <c r="C19" s="16" t="s">
        <v>658</v>
      </c>
    </row>
    <row r="20" spans="2:4">
      <c r="B20" t="s">
        <v>659</v>
      </c>
      <c r="C20" s="142" t="s">
        <v>638</v>
      </c>
      <c r="D20" s="142"/>
    </row>
    <row r="21" spans="2:4">
      <c r="B21" t="s">
        <v>660</v>
      </c>
      <c r="C21" s="142" t="s">
        <v>638</v>
      </c>
      <c r="D21" s="142"/>
    </row>
    <row r="22" spans="2:4">
      <c r="B22" t="s">
        <v>661</v>
      </c>
      <c r="C22" s="142" t="s">
        <v>638</v>
      </c>
      <c r="D22" s="142"/>
    </row>
    <row r="23" spans="2:4">
      <c r="B23" t="s">
        <v>662</v>
      </c>
      <c r="C23" s="142" t="s">
        <v>638</v>
      </c>
      <c r="D23" s="142"/>
    </row>
    <row r="24" spans="2:4">
      <c r="B24" t="s">
        <v>663</v>
      </c>
      <c r="C24" s="142" t="s">
        <v>638</v>
      </c>
      <c r="D24" s="142"/>
    </row>
    <row r="25" spans="2:4">
      <c r="B25" t="s">
        <v>664</v>
      </c>
      <c r="C25" s="142" t="s">
        <v>638</v>
      </c>
      <c r="D25" s="142"/>
    </row>
    <row r="26" spans="2:4">
      <c r="B26" t="s">
        <v>665</v>
      </c>
      <c r="C26" s="142" t="s">
        <v>638</v>
      </c>
      <c r="D26" s="142"/>
    </row>
    <row r="27" spans="2:4">
      <c r="B27" t="s">
        <v>666</v>
      </c>
      <c r="C27" s="142" t="s">
        <v>638</v>
      </c>
      <c r="D27" s="142"/>
    </row>
    <row r="28" spans="2:4">
      <c r="B28" t="s">
        <v>667</v>
      </c>
      <c r="C28" s="142" t="s">
        <v>638</v>
      </c>
      <c r="D28" s="142"/>
    </row>
    <row r="29" spans="2:4">
      <c r="B29" t="s">
        <v>668</v>
      </c>
    </row>
    <row r="30" spans="2:4">
      <c r="B30" t="s">
        <v>669</v>
      </c>
    </row>
    <row r="31" spans="2:4">
      <c r="B31" t="s">
        <v>670</v>
      </c>
    </row>
    <row r="32" spans="2:4">
      <c r="B32" t="s">
        <v>671</v>
      </c>
    </row>
    <row r="33" spans="2:2">
      <c r="B33" t="s">
        <v>672</v>
      </c>
    </row>
    <row r="34" spans="2:2">
      <c r="B34" t="s">
        <v>673</v>
      </c>
    </row>
    <row r="35" spans="2:2">
      <c r="B35" t="s">
        <v>674</v>
      </c>
    </row>
    <row r="36" spans="2:2">
      <c r="B36" t="s">
        <v>675</v>
      </c>
    </row>
    <row r="37" spans="2:2">
      <c r="B37" t="s">
        <v>676</v>
      </c>
    </row>
    <row r="38" spans="2:2">
      <c r="B38" t="s">
        <v>677</v>
      </c>
    </row>
    <row r="39" spans="2:2">
      <c r="B39" t="s">
        <v>678</v>
      </c>
    </row>
    <row r="40" spans="2:2">
      <c r="B40" t="s">
        <v>679</v>
      </c>
    </row>
    <row r="41" spans="2:2">
      <c r="B41" t="s">
        <v>680</v>
      </c>
    </row>
    <row r="42" spans="2:2">
      <c r="B42" t="s">
        <v>681</v>
      </c>
    </row>
    <row r="43" spans="2:2">
      <c r="B43" t="s">
        <v>682</v>
      </c>
    </row>
    <row r="44" spans="2:2">
      <c r="B44" t="s">
        <v>683</v>
      </c>
    </row>
    <row r="45" spans="2:2">
      <c r="B45" t="s">
        <v>684</v>
      </c>
    </row>
    <row r="46" spans="2:2">
      <c r="B46" t="s">
        <v>685</v>
      </c>
    </row>
    <row r="47" spans="2:2">
      <c r="B47" t="s">
        <v>686</v>
      </c>
    </row>
    <row r="48" spans="2:2">
      <c r="B48" t="s">
        <v>687</v>
      </c>
    </row>
    <row r="51" spans="2:2">
      <c r="B51" t="s">
        <v>688</v>
      </c>
    </row>
    <row r="52" spans="2:2">
      <c r="B52" t="s">
        <v>689</v>
      </c>
    </row>
    <row r="53" spans="2:2">
      <c r="B53" t="s">
        <v>690</v>
      </c>
    </row>
    <row r="54" spans="2:2">
      <c r="B54" t="s">
        <v>691</v>
      </c>
    </row>
    <row r="55" spans="2:2">
      <c r="B55" t="s">
        <v>692</v>
      </c>
    </row>
    <row r="56" spans="2:2">
      <c r="B56" t="s">
        <v>693</v>
      </c>
    </row>
    <row r="57" spans="2:2">
      <c r="B57" t="s">
        <v>694</v>
      </c>
    </row>
    <row r="58" spans="2:2">
      <c r="B58" t="s">
        <v>695</v>
      </c>
    </row>
    <row r="59" spans="2:2">
      <c r="B59" t="s">
        <v>696</v>
      </c>
    </row>
    <row r="60" spans="2:2">
      <c r="B60" t="s">
        <v>697</v>
      </c>
    </row>
    <row r="61" spans="2:2">
      <c r="B61" t="s">
        <v>698</v>
      </c>
    </row>
    <row r="62" spans="2:2">
      <c r="B62" t="s">
        <v>699</v>
      </c>
    </row>
    <row r="63" spans="2:2">
      <c r="B63" t="s">
        <v>700</v>
      </c>
    </row>
    <row r="64" spans="2:2">
      <c r="B64" t="s">
        <v>701</v>
      </c>
    </row>
    <row r="65" spans="2:2">
      <c r="B65" t="s">
        <v>702</v>
      </c>
    </row>
    <row r="66" spans="2:2">
      <c r="B66" t="s">
        <v>703</v>
      </c>
    </row>
    <row r="67" spans="2:2">
      <c r="B67" t="s">
        <v>704</v>
      </c>
    </row>
    <row r="68" spans="2:2">
      <c r="B68" t="s">
        <v>705</v>
      </c>
    </row>
    <row r="69" spans="2:2">
      <c r="B69" t="s">
        <v>706</v>
      </c>
    </row>
    <row r="70" spans="2:2">
      <c r="B70" t="s">
        <v>707</v>
      </c>
    </row>
    <row r="71" spans="2:2">
      <c r="B71" t="s">
        <v>708</v>
      </c>
    </row>
    <row r="72" spans="2:2">
      <c r="B72" t="s">
        <v>709</v>
      </c>
    </row>
    <row r="73" spans="2:2">
      <c r="B73" t="s">
        <v>710</v>
      </c>
    </row>
    <row r="74" spans="2:2">
      <c r="B74" t="s">
        <v>711</v>
      </c>
    </row>
    <row r="75" spans="2:2">
      <c r="B75" t="s">
        <v>712</v>
      </c>
    </row>
    <row r="76" spans="2:2">
      <c r="B76" t="s">
        <v>713</v>
      </c>
    </row>
    <row r="77" spans="2:2">
      <c r="B77" t="s">
        <v>714</v>
      </c>
    </row>
    <row r="78" spans="2:2">
      <c r="B78" t="s">
        <v>239</v>
      </c>
    </row>
    <row r="79" spans="2:2">
      <c r="B79" t="s">
        <v>715</v>
      </c>
    </row>
    <row r="80" spans="2:2">
      <c r="B80" t="s">
        <v>716</v>
      </c>
    </row>
    <row r="81" spans="2:2">
      <c r="B81" t="s">
        <v>717</v>
      </c>
    </row>
    <row r="82" spans="2:2">
      <c r="B82" t="s">
        <v>718</v>
      </c>
    </row>
    <row r="83" spans="2:2">
      <c r="B83" t="s">
        <v>719</v>
      </c>
    </row>
    <row r="84" spans="2:2">
      <c r="B84" t="s">
        <v>720</v>
      </c>
    </row>
    <row r="85" spans="2:2">
      <c r="B85" t="s">
        <v>721</v>
      </c>
    </row>
  </sheetData>
  <mergeCells count="24">
    <mergeCell ref="C28:D28"/>
    <mergeCell ref="C22:D22"/>
    <mergeCell ref="C23:D23"/>
    <mergeCell ref="C24:D24"/>
    <mergeCell ref="C25:D25"/>
    <mergeCell ref="C26:D26"/>
    <mergeCell ref="C27:D27"/>
    <mergeCell ref="C21:D21"/>
    <mergeCell ref="C10:D10"/>
    <mergeCell ref="C11:D11"/>
    <mergeCell ref="C12:D12"/>
    <mergeCell ref="C13:D13"/>
    <mergeCell ref="C14:D14"/>
    <mergeCell ref="C15:D15"/>
    <mergeCell ref="C16:D16"/>
    <mergeCell ref="C17:D17"/>
    <mergeCell ref="C18:D18"/>
    <mergeCell ref="C20:D20"/>
    <mergeCell ref="C9:D9"/>
    <mergeCell ref="C2:D2"/>
    <mergeCell ref="C3:D3"/>
    <mergeCell ref="C7:D7"/>
    <mergeCell ref="C8:D8"/>
    <mergeCell ref="C6:D6"/>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3"/>
  <sheetViews>
    <sheetView zoomScale="70" zoomScaleNormal="70" workbookViewId="0">
      <selection activeCell="G5" sqref="G5"/>
    </sheetView>
  </sheetViews>
  <sheetFormatPr defaultRowHeight="14.4"/>
  <cols>
    <col min="1" max="1" width="7.5546875" customWidth="1"/>
    <col min="2" max="2" width="31.109375" bestFit="1" customWidth="1"/>
    <col min="3" max="3" width="89.6640625" bestFit="1" customWidth="1"/>
    <col min="5" max="5" width="43.33203125" bestFit="1" customWidth="1"/>
    <col min="6" max="6" width="47.6640625" bestFit="1" customWidth="1"/>
    <col min="7" max="7" width="45.109375" bestFit="1" customWidth="1"/>
    <col min="8" max="8" width="23.5546875" customWidth="1"/>
    <col min="9" max="9" width="27.109375" customWidth="1"/>
    <col min="10" max="10" width="21.109375" customWidth="1"/>
    <col min="11" max="11" width="16.33203125" customWidth="1"/>
  </cols>
  <sheetData>
    <row r="1" spans="1:11" ht="28.8">
      <c r="C1" s="8" t="s">
        <v>722</v>
      </c>
      <c r="F1" t="s">
        <v>723</v>
      </c>
    </row>
    <row r="2" spans="1:11">
      <c r="C2" t="s">
        <v>724</v>
      </c>
      <c r="E2" t="s">
        <v>725</v>
      </c>
      <c r="F2" t="s">
        <v>726</v>
      </c>
      <c r="G2" t="s">
        <v>727</v>
      </c>
    </row>
    <row r="3" spans="1:11">
      <c r="C3" t="s">
        <v>728</v>
      </c>
      <c r="E3" t="s">
        <v>729</v>
      </c>
      <c r="F3" t="s">
        <v>730</v>
      </c>
      <c r="G3" t="s">
        <v>731</v>
      </c>
    </row>
    <row r="4" spans="1:11" ht="100.8">
      <c r="C4" t="s">
        <v>732</v>
      </c>
      <c r="E4" t="s">
        <v>733</v>
      </c>
      <c r="F4" t="s">
        <v>734</v>
      </c>
      <c r="G4" s="1" t="s">
        <v>735</v>
      </c>
    </row>
    <row r="5" spans="1:11" ht="187.2">
      <c r="C5" t="s">
        <v>736</v>
      </c>
      <c r="E5" t="s">
        <v>737</v>
      </c>
      <c r="F5" t="s">
        <v>738</v>
      </c>
      <c r="G5" s="6" t="s">
        <v>739</v>
      </c>
      <c r="H5" s="1" t="s">
        <v>740</v>
      </c>
      <c r="I5" s="1" t="s">
        <v>741</v>
      </c>
      <c r="J5" s="1" t="s">
        <v>742</v>
      </c>
      <c r="K5" s="1" t="s">
        <v>743</v>
      </c>
    </row>
    <row r="6" spans="1:11">
      <c r="C6" t="s">
        <v>744</v>
      </c>
      <c r="E6" t="s">
        <v>745</v>
      </c>
      <c r="F6" t="s">
        <v>746</v>
      </c>
    </row>
    <row r="7" spans="1:11">
      <c r="C7" t="s">
        <v>747</v>
      </c>
      <c r="E7" t="s">
        <v>748</v>
      </c>
    </row>
    <row r="8" spans="1:11">
      <c r="C8" t="s">
        <v>749</v>
      </c>
      <c r="E8" t="s">
        <v>750</v>
      </c>
    </row>
    <row r="9" spans="1:11">
      <c r="C9" t="s">
        <v>751</v>
      </c>
      <c r="E9" t="s">
        <v>752</v>
      </c>
    </row>
    <row r="10" spans="1:11">
      <c r="C10" t="s">
        <v>753</v>
      </c>
      <c r="E10" t="s">
        <v>754</v>
      </c>
    </row>
    <row r="11" spans="1:11" ht="43.2">
      <c r="C11" s="8" t="s">
        <v>755</v>
      </c>
      <c r="E11" t="s">
        <v>756</v>
      </c>
    </row>
    <row r="12" spans="1:11" ht="43.2">
      <c r="C12" s="8" t="s">
        <v>757</v>
      </c>
      <c r="E12" t="s">
        <v>758</v>
      </c>
    </row>
    <row r="13" spans="1:11" ht="28.8">
      <c r="C13" s="8" t="s">
        <v>759</v>
      </c>
      <c r="E13" t="s">
        <v>760</v>
      </c>
    </row>
    <row r="14" spans="1:11">
      <c r="C14" s="8" t="s">
        <v>761</v>
      </c>
      <c r="E14" t="s">
        <v>762</v>
      </c>
    </row>
    <row r="15" spans="1:11" ht="28.8">
      <c r="C15" s="8" t="s">
        <v>763</v>
      </c>
      <c r="E15" t="s">
        <v>764</v>
      </c>
    </row>
    <row r="16" spans="1:11" ht="72">
      <c r="A16" s="11" t="s">
        <v>115</v>
      </c>
      <c r="B16" s="11"/>
      <c r="C16" s="12" t="s">
        <v>765</v>
      </c>
      <c r="E16" t="s">
        <v>766</v>
      </c>
    </row>
    <row r="17" spans="1:6" ht="43.2">
      <c r="A17" s="11"/>
      <c r="B17" s="11"/>
      <c r="C17" s="12" t="s">
        <v>767</v>
      </c>
      <c r="E17" t="s">
        <v>768</v>
      </c>
    </row>
    <row r="18" spans="1:6">
      <c r="E18" t="s">
        <v>769</v>
      </c>
    </row>
    <row r="19" spans="1:6">
      <c r="E19" t="s">
        <v>770</v>
      </c>
    </row>
    <row r="24" spans="1:6">
      <c r="E24" s="7" t="s">
        <v>771</v>
      </c>
      <c r="F24" t="s">
        <v>772</v>
      </c>
    </row>
    <row r="25" spans="1:6" ht="28.8">
      <c r="B25" t="s">
        <v>773</v>
      </c>
      <c r="C25" s="8" t="s">
        <v>774</v>
      </c>
      <c r="E25" s="7" t="s">
        <v>775</v>
      </c>
      <c r="F25" t="s">
        <v>776</v>
      </c>
    </row>
    <row r="26" spans="1:6">
      <c r="B26" t="s">
        <v>777</v>
      </c>
      <c r="C26" s="8" t="s">
        <v>778</v>
      </c>
    </row>
    <row r="27" spans="1:6" ht="36.75" customHeight="1">
      <c r="B27" t="s">
        <v>779</v>
      </c>
      <c r="C27" s="8" t="s">
        <v>780</v>
      </c>
    </row>
    <row r="28" spans="1:6" ht="43.2">
      <c r="B28" t="s">
        <v>455</v>
      </c>
      <c r="C28" s="8" t="s">
        <v>781</v>
      </c>
      <c r="E28" s="9" t="s">
        <v>782</v>
      </c>
    </row>
    <row r="29" spans="1:6" ht="72">
      <c r="B29" t="s">
        <v>783</v>
      </c>
      <c r="C29" s="8" t="s">
        <v>784</v>
      </c>
    </row>
    <row r="30" spans="1:6" ht="28.8">
      <c r="B30" t="s">
        <v>459</v>
      </c>
      <c r="C30" s="8" t="s">
        <v>785</v>
      </c>
      <c r="E30" s="7" t="s">
        <v>786</v>
      </c>
    </row>
    <row r="31" spans="1:6">
      <c r="B31" t="s">
        <v>787</v>
      </c>
      <c r="C31" s="8" t="s">
        <v>788</v>
      </c>
    </row>
    <row r="32" spans="1:6">
      <c r="B32" t="s">
        <v>789</v>
      </c>
      <c r="C32" s="8" t="s">
        <v>790</v>
      </c>
    </row>
    <row r="33" spans="1:3" ht="43.2">
      <c r="B33" t="s">
        <v>517</v>
      </c>
      <c r="C33" s="8" t="s">
        <v>791</v>
      </c>
    </row>
    <row r="34" spans="1:3" ht="43.2">
      <c r="B34" t="s">
        <v>792</v>
      </c>
      <c r="C34" s="8" t="s">
        <v>793</v>
      </c>
    </row>
    <row r="35" spans="1:3">
      <c r="B35" t="s">
        <v>794</v>
      </c>
      <c r="C35" s="8" t="s">
        <v>795</v>
      </c>
    </row>
    <row r="36" spans="1:3">
      <c r="B36" t="s">
        <v>507</v>
      </c>
      <c r="C36" s="8" t="s">
        <v>508</v>
      </c>
    </row>
    <row r="37" spans="1:3">
      <c r="B37" t="s">
        <v>796</v>
      </c>
      <c r="C37" s="8" t="s">
        <v>797</v>
      </c>
    </row>
    <row r="38" spans="1:3">
      <c r="B38" t="s">
        <v>463</v>
      </c>
      <c r="C38" s="8" t="s">
        <v>798</v>
      </c>
    </row>
    <row r="39" spans="1:3">
      <c r="B39" t="s">
        <v>799</v>
      </c>
      <c r="C39" s="8" t="s">
        <v>800</v>
      </c>
    </row>
    <row r="40" spans="1:3">
      <c r="B40" t="s">
        <v>509</v>
      </c>
      <c r="C40" s="8" t="s">
        <v>510</v>
      </c>
    </row>
    <row r="41" spans="1:3" ht="28.8">
      <c r="B41" t="s">
        <v>512</v>
      </c>
      <c r="C41" s="8" t="s">
        <v>513</v>
      </c>
    </row>
    <row r="42" spans="1:3">
      <c r="B42" t="s">
        <v>530</v>
      </c>
      <c r="C42" s="8" t="s">
        <v>531</v>
      </c>
    </row>
    <row r="43" spans="1:3" ht="28.8">
      <c r="B43" t="s">
        <v>532</v>
      </c>
      <c r="C43" s="8" t="s">
        <v>533</v>
      </c>
    </row>
    <row r="44" spans="1:3">
      <c r="B44" t="s">
        <v>534</v>
      </c>
      <c r="C44" s="8" t="s">
        <v>535</v>
      </c>
    </row>
    <row r="45" spans="1:3">
      <c r="B45" t="s">
        <v>514</v>
      </c>
      <c r="C45" s="8" t="s">
        <v>801</v>
      </c>
    </row>
    <row r="46" spans="1:3">
      <c r="A46" t="s">
        <v>802</v>
      </c>
      <c r="C46" s="8"/>
    </row>
    <row r="47" spans="1:3" ht="28.8">
      <c r="B47" t="s">
        <v>480</v>
      </c>
      <c r="C47" s="8" t="s">
        <v>803</v>
      </c>
    </row>
    <row r="48" spans="1:3">
      <c r="B48" t="s">
        <v>477</v>
      </c>
      <c r="C48" s="8" t="s">
        <v>804</v>
      </c>
    </row>
    <row r="49" spans="2:5">
      <c r="B49" t="s">
        <v>486</v>
      </c>
      <c r="C49" s="8" t="s">
        <v>487</v>
      </c>
    </row>
    <row r="50" spans="2:5">
      <c r="B50" t="s">
        <v>805</v>
      </c>
      <c r="C50" s="8" t="s">
        <v>806</v>
      </c>
    </row>
    <row r="51" spans="2:5">
      <c r="B51" t="s">
        <v>363</v>
      </c>
      <c r="C51" s="8" t="s">
        <v>807</v>
      </c>
    </row>
    <row r="52" spans="2:5">
      <c r="B52" t="s">
        <v>278</v>
      </c>
      <c r="C52" s="8" t="s">
        <v>808</v>
      </c>
    </row>
    <row r="53" spans="2:5">
      <c r="C53" s="8" t="s">
        <v>809</v>
      </c>
    </row>
    <row r="54" spans="2:5" ht="28.8">
      <c r="B54" t="s">
        <v>524</v>
      </c>
      <c r="C54" s="8" t="s">
        <v>525</v>
      </c>
    </row>
    <row r="55" spans="2:5" ht="86.4">
      <c r="B55" t="s">
        <v>468</v>
      </c>
      <c r="C55" s="8" t="s">
        <v>810</v>
      </c>
      <c r="E55" s="7" t="s">
        <v>811</v>
      </c>
    </row>
    <row r="56" spans="2:5">
      <c r="B56" t="s">
        <v>526</v>
      </c>
      <c r="C56" s="1" t="s">
        <v>527</v>
      </c>
    </row>
    <row r="57" spans="2:5">
      <c r="B57" t="s">
        <v>812</v>
      </c>
      <c r="C57" s="1" t="s">
        <v>813</v>
      </c>
    </row>
    <row r="58" spans="2:5">
      <c r="B58" t="s">
        <v>528</v>
      </c>
      <c r="C58" s="1" t="s">
        <v>529</v>
      </c>
    </row>
    <row r="59" spans="2:5" ht="43.2">
      <c r="B59" t="s">
        <v>814</v>
      </c>
      <c r="C59" s="1" t="s">
        <v>815</v>
      </c>
    </row>
    <row r="60" spans="2:5">
      <c r="B60" t="s">
        <v>816</v>
      </c>
      <c r="C60" s="1"/>
    </row>
    <row r="61" spans="2:5" ht="100.8">
      <c r="B61" t="s">
        <v>537</v>
      </c>
      <c r="C61" s="1" t="s">
        <v>817</v>
      </c>
    </row>
    <row r="62" spans="2:5">
      <c r="B62" t="s">
        <v>539</v>
      </c>
      <c r="C62" s="1" t="s">
        <v>540</v>
      </c>
      <c r="E62" s="7" t="s">
        <v>818</v>
      </c>
    </row>
    <row r="63" spans="2:5" ht="100.8">
      <c r="B63" t="s">
        <v>819</v>
      </c>
      <c r="C63" s="1" t="s">
        <v>820</v>
      </c>
    </row>
    <row r="77" spans="1:3">
      <c r="A77" t="s">
        <v>821</v>
      </c>
      <c r="B77" t="s">
        <v>822</v>
      </c>
      <c r="C77" s="1"/>
    </row>
    <row r="78" spans="1:3">
      <c r="B78" t="s">
        <v>823</v>
      </c>
    </row>
    <row r="79" spans="1:3" ht="43.2">
      <c r="B79" t="s">
        <v>824</v>
      </c>
      <c r="C79" s="1" t="s">
        <v>825</v>
      </c>
    </row>
    <row r="84" spans="2:3">
      <c r="B84" t="s">
        <v>826</v>
      </c>
      <c r="C84" s="1" t="s">
        <v>827</v>
      </c>
    </row>
    <row r="85" spans="2:3" ht="43.2">
      <c r="B85" t="s">
        <v>828</v>
      </c>
      <c r="C85" s="1" t="s">
        <v>829</v>
      </c>
    </row>
    <row r="86" spans="2:3">
      <c r="B86" t="s">
        <v>830</v>
      </c>
      <c r="C86" s="1"/>
    </row>
    <row r="87" spans="2:3" ht="28.8">
      <c r="B87" t="s">
        <v>831</v>
      </c>
      <c r="C87" s="1" t="s">
        <v>832</v>
      </c>
    </row>
    <row r="88" spans="2:3" ht="43.2">
      <c r="B88" t="s">
        <v>833</v>
      </c>
      <c r="C88" s="1" t="s">
        <v>834</v>
      </c>
    </row>
    <row r="89" spans="2:3" ht="51.75" customHeight="1">
      <c r="B89" t="s">
        <v>835</v>
      </c>
      <c r="C89" s="1" t="s">
        <v>836</v>
      </c>
    </row>
    <row r="90" spans="2:3" ht="43.2">
      <c r="B90" t="s">
        <v>837</v>
      </c>
      <c r="C90" s="1" t="s">
        <v>838</v>
      </c>
    </row>
    <row r="91" spans="2:3" ht="57.6">
      <c r="B91" t="s">
        <v>839</v>
      </c>
      <c r="C91" s="1" t="s">
        <v>840</v>
      </c>
    </row>
    <row r="92" spans="2:3">
      <c r="B92" t="s">
        <v>841</v>
      </c>
      <c r="C92" t="s">
        <v>842</v>
      </c>
    </row>
    <row r="93" spans="2:3">
      <c r="B93" t="s">
        <v>843</v>
      </c>
      <c r="C93" t="s">
        <v>844</v>
      </c>
    </row>
  </sheetData>
  <hyperlinks>
    <hyperlink ref="E24" r:id="rId1" xr:uid="{5FC92445-250D-494E-814C-5FACAFC58987}"/>
    <hyperlink ref="E25" r:id="rId2" xr:uid="{1469779D-4E71-4C7C-93EA-ED6C82346A98}"/>
    <hyperlink ref="E30" r:id="rId3" xr:uid="{39D27971-8E2D-4670-A1AF-9060C2947C69}"/>
    <hyperlink ref="E28" r:id="rId4" display="https://www.youtube.com/watch?v=s1jNzG2i05I" xr:uid="{FCE7E82C-2837-4C78-8E87-CE9911B93FEB}"/>
    <hyperlink ref="E55" r:id="rId5" xr:uid="{6BE1784C-3910-4FFF-964E-6EFF658EDFE7}"/>
    <hyperlink ref="E62" r:id="rId6" xr:uid="{6AA61274-A2DA-438C-9A99-1F6F93585150}"/>
  </hyperlinks>
  <pageMargins left="0.7" right="0.7" top="0.75" bottom="0.75" header="0.3" footer="0.3"/>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topLeftCell="A4" workbookViewId="0">
      <selection activeCell="C9" sqref="C9"/>
    </sheetView>
  </sheetViews>
  <sheetFormatPr defaultRowHeight="14.4"/>
  <cols>
    <col min="1" max="1" width="9.109375" style="2"/>
    <col min="2" max="2" width="39.5546875" customWidth="1"/>
    <col min="3" max="3" width="87.6640625" style="1" customWidth="1"/>
    <col min="4" max="4" width="39.33203125" style="1" customWidth="1"/>
  </cols>
  <sheetData>
    <row r="1" spans="1:4">
      <c r="A1" s="119" t="s">
        <v>845</v>
      </c>
      <c r="B1" s="119" t="s">
        <v>846</v>
      </c>
      <c r="C1" s="3" t="s">
        <v>847</v>
      </c>
      <c r="D1" s="1" t="s">
        <v>848</v>
      </c>
    </row>
    <row r="2" spans="1:4" ht="43.2">
      <c r="A2" s="2">
        <v>1</v>
      </c>
      <c r="B2" t="s">
        <v>849</v>
      </c>
      <c r="C2" s="1" t="s">
        <v>850</v>
      </c>
    </row>
    <row r="3" spans="1:4">
      <c r="A3" s="2">
        <v>2</v>
      </c>
      <c r="B3" t="s">
        <v>851</v>
      </c>
      <c r="C3" s="1" t="s">
        <v>852</v>
      </c>
    </row>
    <row r="4" spans="1:4" ht="374.4">
      <c r="A4" s="2">
        <v>3</v>
      </c>
      <c r="B4" s="4" t="s">
        <v>853</v>
      </c>
      <c r="C4" s="1" t="s">
        <v>854</v>
      </c>
      <c r="D4" s="1" t="s">
        <v>855</v>
      </c>
    </row>
    <row r="5" spans="1:4">
      <c r="A5" s="2">
        <v>4</v>
      </c>
      <c r="B5" t="s">
        <v>856</v>
      </c>
      <c r="C5" s="1" t="s">
        <v>857</v>
      </c>
    </row>
    <row r="6" spans="1:4">
      <c r="A6" s="2">
        <v>5</v>
      </c>
      <c r="B6" t="s">
        <v>858</v>
      </c>
      <c r="C6" s="1" t="s">
        <v>859</v>
      </c>
    </row>
    <row r="7" spans="1:4">
      <c r="A7" s="2">
        <v>6</v>
      </c>
      <c r="B7" t="s">
        <v>860</v>
      </c>
      <c r="C7" s="1" t="s">
        <v>861</v>
      </c>
    </row>
    <row r="8" spans="1:4" ht="57.6">
      <c r="A8" s="2">
        <v>7</v>
      </c>
      <c r="B8" t="s">
        <v>862</v>
      </c>
      <c r="C8" s="1" t="s">
        <v>863</v>
      </c>
    </row>
    <row r="9" spans="1:4" ht="57.6">
      <c r="A9" s="2">
        <v>8</v>
      </c>
      <c r="B9" s="5" t="s">
        <v>864</v>
      </c>
      <c r="C9" s="1" t="s">
        <v>865</v>
      </c>
      <c r="D9" s="1" t="s">
        <v>866</v>
      </c>
    </row>
    <row r="10" spans="1:4" ht="28.8">
      <c r="A10" s="2">
        <v>9</v>
      </c>
      <c r="B10" t="s">
        <v>867</v>
      </c>
      <c r="C10" s="1" t="s">
        <v>868</v>
      </c>
    </row>
    <row r="11" spans="1:4">
      <c r="A11" s="2">
        <v>10</v>
      </c>
      <c r="B11" t="s">
        <v>869</v>
      </c>
      <c r="C11" s="1" t="s">
        <v>870</v>
      </c>
    </row>
    <row r="12" spans="1:4" ht="100.8">
      <c r="A12" s="2">
        <v>11</v>
      </c>
      <c r="B12" t="s">
        <v>871</v>
      </c>
      <c r="C12" s="1" t="s">
        <v>872</v>
      </c>
      <c r="D12" s="1" t="s">
        <v>873</v>
      </c>
    </row>
    <row r="13" spans="1:4" ht="115.2">
      <c r="A13" s="2">
        <v>12</v>
      </c>
      <c r="B13" t="s">
        <v>874</v>
      </c>
      <c r="C13" s="1" t="s">
        <v>875</v>
      </c>
      <c r="D13" s="1" t="s">
        <v>876</v>
      </c>
    </row>
    <row r="14" spans="1:4" ht="57.6">
      <c r="A14" s="2">
        <v>13</v>
      </c>
      <c r="B14" t="s">
        <v>877</v>
      </c>
      <c r="C14" s="1" t="s">
        <v>878</v>
      </c>
      <c r="D14" s="6" t="s">
        <v>879</v>
      </c>
    </row>
    <row r="15" spans="1:4" ht="72">
      <c r="A15" s="2">
        <v>14</v>
      </c>
      <c r="B15" t="s">
        <v>880</v>
      </c>
      <c r="C15" s="1" t="s">
        <v>881</v>
      </c>
      <c r="D15" s="1" t="s">
        <v>882</v>
      </c>
    </row>
    <row r="16" spans="1:4" ht="86.4">
      <c r="A16" s="2">
        <v>15</v>
      </c>
      <c r="B16" t="s">
        <v>883</v>
      </c>
      <c r="C16" s="1" t="s">
        <v>884</v>
      </c>
      <c r="D16" s="1" t="s">
        <v>885</v>
      </c>
    </row>
    <row r="17" spans="1:7" ht="86.4">
      <c r="A17" s="2">
        <v>16</v>
      </c>
      <c r="B17" t="s">
        <v>886</v>
      </c>
      <c r="C17" s="1" t="s">
        <v>887</v>
      </c>
      <c r="D17" s="1" t="s">
        <v>888</v>
      </c>
      <c r="G17" t="s">
        <v>360</v>
      </c>
    </row>
    <row r="18" spans="1:7">
      <c r="B18" t="s">
        <v>889</v>
      </c>
      <c r="C18" s="1" t="s">
        <v>890</v>
      </c>
    </row>
    <row r="19" spans="1:7">
      <c r="B19" t="s">
        <v>891</v>
      </c>
      <c r="C19" s="1" t="s">
        <v>892</v>
      </c>
    </row>
    <row r="20" spans="1:7" ht="57.6">
      <c r="B20" t="s">
        <v>893</v>
      </c>
      <c r="C20" s="1" t="s">
        <v>894</v>
      </c>
    </row>
    <row r="21" spans="1:7">
      <c r="B21" t="s">
        <v>895</v>
      </c>
      <c r="C21" s="1" t="s">
        <v>896</v>
      </c>
    </row>
    <row r="22" spans="1:7" ht="288">
      <c r="B22" t="s">
        <v>897</v>
      </c>
      <c r="C22" s="1" t="s">
        <v>898</v>
      </c>
      <c r="D22" s="1" t="s">
        <v>899</v>
      </c>
    </row>
    <row r="23" spans="1:7">
      <c r="A23" s="2" t="s">
        <v>900</v>
      </c>
      <c r="B23" t="s">
        <v>901</v>
      </c>
      <c r="C23" s="1" t="s">
        <v>902</v>
      </c>
      <c r="D23" s="1" t="s">
        <v>903</v>
      </c>
    </row>
  </sheetData>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E6FADC-A516-40FD-9C2F-3483EACC37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Order flow</vt:lpstr>
      <vt:lpstr>Trade</vt:lpstr>
      <vt:lpstr>Query</vt:lpstr>
      <vt:lpstr>Swing Trade</vt:lpstr>
      <vt:lpstr>Portfolio</vt:lpstr>
      <vt:lpstr>Stocks Review</vt:lpstr>
      <vt:lpstr>Filters &amp; Indicators</vt:lpstr>
      <vt:lpstr>Valuation</vt:lpstr>
      <vt:lpstr>Industry Factors</vt:lpstr>
      <vt:lpstr>Links</vt:lpstr>
      <vt:lpstr>Penny for Research</vt:lpstr>
      <vt:lpstr>Terminology</vt:lpstr>
      <vt:lpstr>Definition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Piyoosh</dc:creator>
  <cp:keywords/>
  <dc:description/>
  <cp:lastModifiedBy>Piyoosh Sah</cp:lastModifiedBy>
  <cp:revision/>
  <dcterms:created xsi:type="dcterms:W3CDTF">2014-01-02T09:57:31Z</dcterms:created>
  <dcterms:modified xsi:type="dcterms:W3CDTF">2026-04-12T11:55:45Z</dcterms:modified>
  <cp:category/>
  <cp:contentStatus/>
</cp:coreProperties>
</file>